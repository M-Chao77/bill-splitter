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Example 1" sheetId="2" r:id="rId6"/>
    <sheet state="visible" name="Example 2" sheetId="3" r:id="rId7"/>
    <sheet state="visible" name="Example 3" sheetId="4" r:id="rId8"/>
  </sheets>
  <definedNames/>
  <calcPr/>
</workbook>
</file>

<file path=xl/sharedStrings.xml><?xml version="1.0" encoding="utf-8"?>
<sst xmlns="http://schemas.openxmlformats.org/spreadsheetml/2006/main" count="181" uniqueCount="78">
  <si>
    <t>Bill Splitter</t>
  </si>
  <si>
    <t>An unofficial Google Sheets tool for splitting restaurant bills fairly, including shared dishes, treated items, tax, tip, and payment tracking.</t>
  </si>
  <si>
    <t>Version 2.0 | Last updated: July 2026 | Created by Matthew Chao</t>
  </si>
  <si>
    <t>Project Overview</t>
  </si>
  <si>
    <t>The Bill Splitter is an interactive Google Sheets tool designed to divide a restaurant bill among multiple people. It calculates each person’s share based on the food they ordered, shared appetizers, treated meals, tax, and tip.
The spreadsheet also includes payment checkboxes and automatically generated payment-status messages, making it easier to track who has paid and how much each person owes.</t>
  </si>
  <si>
    <t>How to Use the Bill Splitter</t>
  </si>
  <si>
    <r>
      <rPr>
        <rFont val="Lexend"/>
        <b/>
        <color theme="1"/>
        <sz val="11.0"/>
      </rPr>
      <t xml:space="preserve">1. Enter the summary totals
</t>
    </r>
    <r>
      <rPr>
        <rFont val="Lexend"/>
        <color theme="1"/>
        <sz val="11.0"/>
      </rPr>
      <t xml:space="preserve">-Tax Amount: Enter the total tax shown on the receipt.
-Tip Amount: Enter the total tip.
</t>
    </r>
    <r>
      <rPr>
        <rFont val="Lexend"/>
        <color rgb="FF666666"/>
        <sz val="8.0"/>
      </rPr>
      <t xml:space="preserve">*The percentages underneath the tax and tip amounts are calculated automatically.
</t>
    </r>
    <r>
      <rPr>
        <rFont val="Lexend"/>
        <color theme="1"/>
        <sz val="11.0"/>
      </rPr>
      <t xml:space="preserve">
</t>
    </r>
    <r>
      <rPr>
        <rFont val="Lexend"/>
        <b/>
        <color theme="1"/>
        <sz val="11.0"/>
      </rPr>
      <t>2. Enter each item</t>
    </r>
    <r>
      <rPr>
        <rFont val="Lexend"/>
        <color theme="1"/>
        <sz val="11.0"/>
      </rPr>
      <t xml:space="preserve">
In the Food Ordered section, enter:
-The person’s name
-The dish or item ordered
-The item’s price
-The appropriate option from the Split? dropdown
</t>
    </r>
    <r>
      <rPr>
        <rFont val="Lexend"/>
        <b/>
        <color theme="1"/>
        <sz val="11.0"/>
      </rPr>
      <t>3. Select how each item should be divided</t>
    </r>
    <r>
      <rPr>
        <rFont val="Lexend"/>
        <color theme="1"/>
        <sz val="11.0"/>
      </rPr>
      <t xml:space="preserve">
Use the dropdown in the Split? column:
-Solo: The full price is assigned to the person listed in that row.
-Treated: The listed person is not charged, and the item is divided among the other diners.
-Appetizer: The item is shared evenly among the participating diners.
-N/A: The row is excluded from the calculations.
</t>
    </r>
    <r>
      <rPr>
        <rFont val="Lexend"/>
        <b/>
        <color theme="1"/>
        <sz val="11.0"/>
      </rPr>
      <t>4. Track payments</t>
    </r>
    <r>
      <rPr>
        <rFont val="Lexend"/>
        <color theme="1"/>
        <sz val="11.0"/>
      </rPr>
      <t xml:space="preserve">
Check the box in the Paid? column after someone has paid their portion.
The Payment Status column will display:
-The person’s name
-The amount they owe
-A check mark when paid
-An X when payment is still outstanding</t>
    </r>
  </si>
  <si>
    <t>Reading the Bill Splitter</t>
  </si>
  <si>
    <t>Indicator</t>
  </si>
  <si>
    <t>Meaning</t>
  </si>
  <si>
    <t>Beige Cells</t>
  </si>
  <si>
    <t>Where user inputs information</t>
  </si>
  <si>
    <t>Personal Subtotal</t>
  </si>
  <si>
    <t>No units from the course are assigned to that category.</t>
  </si>
  <si>
    <t>Tax/Tip Percentage</t>
  </si>
  <si>
    <t>The percentage of the food subtotal belonging to that person</t>
  </si>
  <si>
    <t>Tax/Tip Cost</t>
  </si>
  <si>
    <t>The person’s calculated portion of the combined tax and tip.</t>
  </si>
  <si>
    <t>Total</t>
  </si>
  <si>
    <t>The final amount the person owes, including their food subtotal, tax, and tip.</t>
  </si>
  <si>
    <t>Payment Status</t>
  </si>
  <si>
    <t>A visual summary showing whether the person has paid their calculated total.</t>
  </si>
  <si>
    <t>Project Features</t>
  </si>
  <si>
    <t xml:space="preserve">• Automatically calculates each person’s individual subtotal
• Supports individual, shared, and treated items
• Divides tax and tip proportionally instead of equally
• Uses dropdown menus to reduce manual-entry errors
• Tracks completed and outstanding payments with checkboxes
• Automatically generates readable payment-status messages
• Includes conditional formatting for quick visual feedback
• Updates calculations as bill information is changed
</t>
  </si>
  <si>
    <t>Accessibility Considerations</t>
  </si>
  <si>
    <t>The spreadsheet uses both color and written labels to communicate information. Payment status is shown through text and symbols rather than color alone.
Input cells are visually separated from calculated cells so users can more easily identify which areas should be edited. Consistent headers, currency formatting, and dropdown options also make the spreadsheet easier to navigate.</t>
  </si>
  <si>
    <t>About the Project</t>
  </si>
  <si>
    <t>I created this project after my friend group split tax/tip costs evenly and one of my friends had to pay more for tax/tip than his actual meal price.
Bill Splitter is meant to simplify the process of dividing restaurant bills when people order items with different prices, share food, or treat another person.
The project demonstrates how spreadsheet formulas and interface design can be combined to transform a repetitive calculation into a practical, user-friendly tool.</t>
  </si>
  <si>
    <t>The Bill Splitter</t>
  </si>
  <si>
    <t>By: Matthew Chao
Edit cream cells only</t>
  </si>
  <si>
    <t>How it works</t>
  </si>
  <si>
    <t>$ Tax</t>
  </si>
  <si>
    <t xml:space="preserve">$ Tip </t>
  </si>
  <si>
    <t>$ Subtotal</t>
  </si>
  <si>
    <t>$ Bill Total</t>
  </si>
  <si>
    <t>1. Enter the tax/tip amount in $</t>
  </si>
  <si>
    <t>2. Add each dish, its price, and how it is split.</t>
  </si>
  <si>
    <t>3. Check Paid? to track payment status</t>
  </si>
  <si>
    <t>Name</t>
  </si>
  <si>
    <t>Dish</t>
  </si>
  <si>
    <t>$ Price</t>
  </si>
  <si>
    <t>Split</t>
  </si>
  <si>
    <t>Paid?</t>
  </si>
  <si>
    <t>Matt</t>
  </si>
  <si>
    <t>chicken w portugese</t>
  </si>
  <si>
    <t>Solo</t>
  </si>
  <si>
    <t>Sunny</t>
  </si>
  <si>
    <t>pork w cream</t>
  </si>
  <si>
    <t>Jilli</t>
  </si>
  <si>
    <t>pork w black pepper</t>
  </si>
  <si>
    <t>N/A</t>
  </si>
  <si>
    <t>Fettccine Arrostiti</t>
  </si>
  <si>
    <t>Miggy</t>
  </si>
  <si>
    <t>Spaghetti Carbonara</t>
  </si>
  <si>
    <t>Sean</t>
  </si>
  <si>
    <t>Spaghetti Parmesano</t>
  </si>
  <si>
    <t>Lennis</t>
  </si>
  <si>
    <t>Spaghetti &amp; Meatballs</t>
  </si>
  <si>
    <t>Treated</t>
  </si>
  <si>
    <t>Pizza</t>
  </si>
  <si>
    <t>Margherita</t>
  </si>
  <si>
    <t>Appetizer</t>
  </si>
  <si>
    <t>rib eye steak</t>
  </si>
  <si>
    <t>roast duck (half)</t>
  </si>
  <si>
    <t>salt/pepper ribs</t>
  </si>
  <si>
    <t>green bean</t>
  </si>
  <si>
    <t>noodle</t>
  </si>
  <si>
    <t>eggplant</t>
  </si>
  <si>
    <t>rice</t>
  </si>
  <si>
    <t>Michael (YoyoMa)</t>
  </si>
  <si>
    <t>milk tea</t>
  </si>
  <si>
    <t>Michael</t>
  </si>
  <si>
    <t>boba tea</t>
  </si>
  <si>
    <t>Kelly Li</t>
  </si>
  <si>
    <t>Kelly Deng</t>
  </si>
  <si>
    <t>Abigail</t>
  </si>
  <si>
    <t>Miwa</t>
  </si>
  <si>
    <t>Miguel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</si>
</sst>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22.0"/>
      <color rgb="FFFFFFFF"/>
      <name val="Lexend"/>
    </font>
    <font/>
    <font>
      <color theme="1"/>
      <name val="Arial"/>
    </font>
    <font>
      <i/>
      <sz val="11.0"/>
      <color rgb="FF666666"/>
      <name val="Lexend"/>
    </font>
    <font>
      <sz val="9.0"/>
      <color rgb="FF666666"/>
      <name val="Lexend"/>
    </font>
    <font>
      <b/>
      <sz val="12.0"/>
      <color rgb="FFFFFFFF"/>
      <name val="Lexend"/>
    </font>
    <font>
      <sz val="11.0"/>
      <color theme="1"/>
      <name val="Lexend"/>
    </font>
    <font>
      <b/>
      <sz val="11.0"/>
      <color theme="1"/>
      <name val="Lexend"/>
    </font>
    <font>
      <sz val="11.0"/>
      <color rgb="FFFFFFFF"/>
      <name val="Lexend"/>
    </font>
    <font>
      <b/>
      <sz val="18.0"/>
      <color rgb="FFFFFFFF"/>
      <name val="Nunito Sans"/>
    </font>
    <font>
      <b/>
      <color rgb="FF6B531B"/>
      <name val="Nunito Sans"/>
    </font>
    <font>
      <b/>
      <sz val="11.0"/>
      <color rgb="FF364152"/>
      <name val="Nunito Sans"/>
    </font>
    <font>
      <b/>
      <color theme="1"/>
      <name val="Nunito Sans"/>
    </font>
    <font>
      <color rgb="FF45505E"/>
      <name val="Nunito Sans"/>
    </font>
    <font>
      <b/>
      <sz val="14.0"/>
      <color rgb="FF263238"/>
      <name val="Nunito Sans"/>
    </font>
    <font>
      <b/>
      <sz val="14.0"/>
      <color rgb="FF2E3A8C"/>
      <name val="Nunito Sans"/>
    </font>
    <font>
      <sz val="9.0"/>
      <color rgb="FF6B7280"/>
      <name val="Nunito Sans"/>
    </font>
    <font>
      <color rgb="FF434343"/>
      <name val="Nunito Sans"/>
    </font>
    <font>
      <b/>
      <color rgb="FF434343"/>
      <name val="Nunito Sans"/>
    </font>
    <font>
      <color rgb="FF5A3286"/>
      <name val="Nunito Sans"/>
    </font>
    <font>
      <color theme="1"/>
      <name val="Arial"/>
      <scheme val="minor"/>
    </font>
  </fonts>
  <fills count="11">
    <fill>
      <patternFill patternType="none"/>
    </fill>
    <fill>
      <patternFill patternType="lightGray"/>
    </fill>
    <fill>
      <patternFill patternType="solid">
        <fgColor rgb="FF073763"/>
        <bgColor rgb="FF073763"/>
      </patternFill>
    </fill>
    <fill>
      <patternFill patternType="solid">
        <fgColor rgb="FFD9EAD3"/>
        <bgColor rgb="FFD9EAD3"/>
      </patternFill>
    </fill>
    <fill>
      <patternFill patternType="solid">
        <fgColor rgb="FFFFF2CC"/>
        <bgColor rgb="FFFFF2CC"/>
      </patternFill>
    </fill>
    <fill>
      <patternFill patternType="solid">
        <fgColor rgb="FF535FC1"/>
        <bgColor rgb="FF535FC1"/>
      </patternFill>
    </fill>
    <fill>
      <patternFill patternType="solid">
        <fgColor rgb="FF4F5FBF"/>
        <bgColor rgb="FF4F5FBF"/>
      </patternFill>
    </fill>
    <fill>
      <patternFill patternType="solid">
        <fgColor rgb="FFFFF4D6"/>
        <bgColor rgb="FFFFF4D6"/>
      </patternFill>
    </fill>
    <fill>
      <patternFill patternType="solid">
        <fgColor rgb="FFF7F8FC"/>
        <bgColor rgb="FFF7F8FC"/>
      </patternFill>
    </fill>
    <fill>
      <patternFill patternType="solid">
        <fgColor rgb="FFD4D7EF"/>
        <bgColor rgb="FFD4D7EF"/>
      </patternFill>
    </fill>
    <fill>
      <patternFill patternType="solid">
        <fgColor rgb="FFE8EAFB"/>
        <bgColor rgb="FFE8EAFB"/>
      </patternFill>
    </fill>
  </fills>
  <borders count="32">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left style="thin">
        <color rgb="FFB7B7B7"/>
      </left>
      <top style="thin">
        <color rgb="FFB7B7B7"/>
      </top>
    </border>
    <border>
      <top style="thin">
        <color rgb="FFB7B7B7"/>
      </top>
    </border>
    <border>
      <right style="thin">
        <color rgb="FFB7B7B7"/>
      </right>
      <top style="thin">
        <color rgb="FFB7B7B7"/>
      </top>
    </border>
    <border>
      <left style="thin">
        <color rgb="FFE5D8A9"/>
      </left>
      <right style="thin">
        <color rgb="FFE5D8A9"/>
      </right>
      <top style="thin">
        <color rgb="FFE5D8A9"/>
      </top>
    </border>
    <border>
      <left style="thin">
        <color rgb="FF000000"/>
      </left>
      <top style="thin">
        <color rgb="FF000000"/>
      </top>
    </border>
    <border>
      <top style="thin">
        <color rgb="FF000000"/>
      </top>
    </border>
    <border>
      <right style="thin">
        <color rgb="FF000000"/>
      </right>
      <top style="thin">
        <color rgb="FF000000"/>
      </top>
    </border>
    <border>
      <left style="thin">
        <color rgb="FFE5D8A9"/>
      </left>
      <right style="thin">
        <color rgb="FFE5D8A9"/>
      </right>
    </border>
    <border>
      <right style="thin">
        <color rgb="FF394264"/>
      </right>
      <top style="thin">
        <color rgb="FF394264"/>
      </top>
      <bottom style="thin">
        <color rgb="FF394264"/>
      </bottom>
    </border>
    <border>
      <left style="thin">
        <color rgb="FF394264"/>
      </left>
      <right style="thin">
        <color rgb="FF394264"/>
      </right>
      <top style="thin">
        <color rgb="FF394264"/>
      </top>
      <bottom style="thin">
        <color rgb="FF394264"/>
      </bottom>
    </border>
    <border>
      <right style="thin">
        <color rgb="FF000000"/>
      </right>
    </border>
    <border>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0" fillId="0" fontId="3" numFmtId="0" xfId="0" applyAlignment="1" applyFont="1">
      <alignment vertical="top"/>
    </xf>
    <xf borderId="4" fillId="0" fontId="2" numFmtId="0" xfId="0" applyBorder="1" applyFont="1"/>
    <xf borderId="5" fillId="0" fontId="2" numFmtId="0" xfId="0" applyBorder="1" applyFont="1"/>
    <xf borderId="4" fillId="3" fontId="4" numFmtId="0" xfId="0" applyAlignment="1" applyBorder="1" applyFill="1" applyFont="1">
      <alignment shrinkToFit="0" vertical="top" wrapText="1"/>
    </xf>
    <xf borderId="6" fillId="0" fontId="5" numFmtId="0" xfId="0" applyAlignment="1" applyBorder="1" applyFont="1">
      <alignment shrinkToFit="0" vertical="top" wrapText="1"/>
    </xf>
    <xf borderId="7" fillId="0" fontId="2" numFmtId="0" xfId="0" applyBorder="1" applyFont="1"/>
    <xf borderId="8" fillId="0" fontId="2" numFmtId="0" xfId="0" applyBorder="1" applyFont="1"/>
    <xf borderId="0" fillId="2" fontId="6" numFmtId="0" xfId="0" applyAlignment="1" applyFont="1">
      <alignment shrinkToFit="0" vertical="top" wrapText="1"/>
    </xf>
    <xf borderId="1" fillId="0" fontId="7" numFmtId="0" xfId="0" applyAlignment="1" applyBorder="1" applyFont="1">
      <alignment shrinkToFit="0" vertical="top" wrapText="1"/>
    </xf>
    <xf borderId="6" fillId="0" fontId="2" numFmtId="0" xfId="0" applyBorder="1" applyFont="1"/>
    <xf borderId="9" fillId="0" fontId="7" numFmtId="0" xfId="0" applyAlignment="1" applyBorder="1" applyFont="1">
      <alignment readingOrder="0" shrinkToFit="0" vertical="top" wrapText="1"/>
    </xf>
    <xf borderId="10" fillId="0" fontId="2" numFmtId="0" xfId="0" applyBorder="1" applyFont="1"/>
    <xf borderId="9"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8" numFmtId="0" xfId="0" applyAlignment="1" applyBorder="1" applyFont="1">
      <alignment vertical="bottom"/>
    </xf>
    <xf borderId="15" fillId="0" fontId="2" numFmtId="0" xfId="0" applyBorder="1" applyFont="1"/>
    <xf borderId="16" fillId="0" fontId="2" numFmtId="0" xfId="0" applyBorder="1" applyFont="1"/>
    <xf borderId="14" fillId="4" fontId="7" numFmtId="0" xfId="0" applyAlignment="1" applyBorder="1" applyFill="1" applyFont="1">
      <alignment horizontal="center" shrinkToFit="0" vertical="top" wrapText="1"/>
    </xf>
    <xf borderId="14" fillId="0" fontId="7" numFmtId="0" xfId="0" applyAlignment="1" applyBorder="1" applyFont="1">
      <alignment shrinkToFit="0" vertical="top" wrapText="1"/>
    </xf>
    <xf borderId="14" fillId="5" fontId="9" numFmtId="0" xfId="0" applyAlignment="1" applyBorder="1" applyFill="1" applyFont="1">
      <alignment horizontal="center" shrinkToFit="0" vertical="top" wrapText="1"/>
    </xf>
    <xf borderId="17" fillId="0" fontId="7" numFmtId="0" xfId="0" applyAlignment="1" applyBorder="1" applyFont="1">
      <alignment shrinkToFit="0" vertical="top" wrapText="1"/>
    </xf>
    <xf borderId="18" fillId="0" fontId="2" numFmtId="0" xfId="0" applyBorder="1" applyFont="1"/>
    <xf borderId="19" fillId="0" fontId="2" numFmtId="0" xfId="0" applyBorder="1" applyFont="1"/>
    <xf borderId="0" fillId="0" fontId="3" numFmtId="0" xfId="0" applyAlignment="1" applyFont="1">
      <alignment vertical="bottom"/>
    </xf>
    <xf borderId="1" fillId="2" fontId="6" numFmtId="0" xfId="0" applyAlignment="1" applyBorder="1" applyFont="1">
      <alignment shrinkToFit="0" vertical="top" wrapText="1"/>
    </xf>
    <xf borderId="4" fillId="0" fontId="7" numFmtId="0" xfId="0" applyAlignment="1" applyBorder="1" applyFont="1">
      <alignment shrinkToFit="0" vertical="top" wrapText="1"/>
    </xf>
    <xf borderId="0" fillId="6" fontId="10" numFmtId="0" xfId="0" applyAlignment="1" applyFill="1" applyFont="1">
      <alignment horizontal="center" shrinkToFit="0" wrapText="1"/>
    </xf>
    <xf borderId="20" fillId="7" fontId="11" numFmtId="0" xfId="0" applyAlignment="1" applyBorder="1" applyFill="1" applyFont="1">
      <alignment horizontal="left" shrinkToFit="0" vertical="center" wrapText="1"/>
    </xf>
    <xf borderId="21" fillId="8" fontId="12" numFmtId="0" xfId="0" applyAlignment="1" applyBorder="1" applyFill="1" applyFont="1">
      <alignment shrinkToFit="0" wrapText="1"/>
    </xf>
    <xf borderId="22" fillId="0" fontId="2" numFmtId="0" xfId="0" applyBorder="1" applyFont="1"/>
    <xf borderId="23" fillId="0" fontId="2" numFmtId="0" xfId="0" applyBorder="1" applyFont="1"/>
    <xf borderId="24" fillId="0" fontId="2" numFmtId="0" xfId="0" applyBorder="1" applyFont="1"/>
    <xf borderId="25" fillId="0" fontId="13" numFmtId="0" xfId="0" applyAlignment="1" applyBorder="1" applyFont="1">
      <alignment horizontal="center" readingOrder="0" shrinkToFit="0" vertical="center" wrapText="1"/>
    </xf>
    <xf borderId="26" fillId="0" fontId="13" numFmtId="0" xfId="0" applyAlignment="1" applyBorder="1" applyFont="1">
      <alignment horizontal="center" readingOrder="0" shrinkToFit="0" vertical="center" wrapText="1"/>
    </xf>
    <xf borderId="0" fillId="8" fontId="14" numFmtId="0" xfId="0" applyAlignment="1" applyFont="1">
      <alignment readingOrder="0" shrinkToFit="0" vertical="center" wrapText="1"/>
    </xf>
    <xf borderId="27" fillId="0" fontId="2" numFmtId="0" xfId="0" applyBorder="1" applyFont="1"/>
    <xf borderId="25" fillId="7" fontId="15" numFmtId="0" xfId="0" applyAlignment="1" applyBorder="1" applyFont="1">
      <alignment horizontal="center" shrinkToFit="0" vertical="center" wrapText="1"/>
    </xf>
    <xf borderId="26" fillId="7" fontId="15" numFmtId="0" xfId="0" applyAlignment="1" applyBorder="1" applyFont="1">
      <alignment horizontal="center" shrinkToFit="0" vertical="center" wrapText="1"/>
    </xf>
    <xf borderId="26" fillId="9" fontId="16" numFmtId="0" xfId="0" applyAlignment="1" applyBorder="1" applyFill="1" applyFont="1">
      <alignment horizontal="center" shrinkToFit="0" vertical="center" wrapText="1"/>
    </xf>
    <xf borderId="25" fillId="10" fontId="17" numFmtId="10" xfId="0" applyAlignment="1" applyBorder="1" applyFill="1" applyFont="1" applyNumberFormat="1">
      <alignment horizontal="center" shrinkToFit="0" vertical="center" wrapText="1"/>
    </xf>
    <xf borderId="26" fillId="10" fontId="17" numFmtId="10" xfId="0" applyAlignment="1" applyBorder="1" applyFont="1" applyNumberFormat="1">
      <alignment horizontal="center" shrinkToFit="0" vertical="center" wrapText="1"/>
    </xf>
    <xf borderId="26" fillId="10" fontId="3" numFmtId="0" xfId="0" applyAlignment="1" applyBorder="1" applyFont="1">
      <alignment shrinkToFit="0" vertical="center" wrapText="0"/>
    </xf>
    <xf borderId="28" fillId="8" fontId="14" numFmtId="0" xfId="0" applyAlignment="1" applyBorder="1" applyFont="1">
      <alignment readingOrder="0" shrinkToFit="0" vertical="center" wrapText="1"/>
    </xf>
    <xf borderId="28" fillId="0" fontId="2" numFmtId="0" xfId="0" applyBorder="1" applyFont="1"/>
    <xf borderId="29" fillId="0" fontId="2" numFmtId="0" xfId="0" applyBorder="1" applyFont="1"/>
    <xf borderId="21" fillId="0" fontId="13" numFmtId="0" xfId="0" applyAlignment="1" applyBorder="1" applyFont="1">
      <alignment horizontal="center" readingOrder="0" shrinkToFit="0" vertical="center" wrapText="1"/>
    </xf>
    <xf borderId="22" fillId="0" fontId="13" numFmtId="0" xfId="0" applyAlignment="1" applyBorder="1" applyFont="1">
      <alignment horizontal="center" readingOrder="0" shrinkToFit="0" vertical="center" wrapText="1"/>
    </xf>
    <xf borderId="22" fillId="0" fontId="13" numFmtId="49" xfId="0" applyAlignment="1" applyBorder="1" applyFont="1" applyNumberFormat="1">
      <alignment horizontal="center" readingOrder="0" shrinkToFit="0" vertical="center" wrapText="1"/>
    </xf>
    <xf borderId="23" fillId="0" fontId="13" numFmtId="0" xfId="0" applyAlignment="1" applyBorder="1" applyFont="1">
      <alignment horizontal="center" readingOrder="0" shrinkToFit="0" vertical="center" wrapText="1"/>
    </xf>
    <xf borderId="30" fillId="7" fontId="18" numFmtId="0" xfId="0" applyAlignment="1" applyBorder="1" applyFont="1">
      <alignment horizontal="center" shrinkToFit="0" vertical="center" wrapText="1"/>
    </xf>
    <xf borderId="0" fillId="7" fontId="18" numFmtId="49" xfId="0" applyAlignment="1" applyFont="1" applyNumberFormat="1">
      <alignment horizontal="center" shrinkToFit="0" vertical="center" wrapText="1"/>
    </xf>
    <xf borderId="0" fillId="7" fontId="19" numFmtId="0" xfId="0" applyAlignment="1" applyFont="1">
      <alignment horizontal="center" shrinkToFit="0" vertical="center" wrapText="1"/>
    </xf>
    <xf borderId="0" fillId="7" fontId="20" numFmtId="0" xfId="0" applyAlignment="1" applyFont="1">
      <alignment horizontal="center" shrinkToFit="0" vertical="center" wrapText="1"/>
    </xf>
    <xf borderId="0" fillId="0" fontId="13" numFmtId="0" xfId="0" applyAlignment="1" applyFont="1">
      <alignment shrinkToFit="0" vertical="center" wrapText="1"/>
    </xf>
    <xf borderId="0" fillId="0" fontId="13" numFmtId="10" xfId="0" applyAlignment="1" applyFont="1" applyNumberFormat="1">
      <alignment shrinkToFit="0" vertical="center" wrapText="1"/>
    </xf>
    <xf borderId="0" fillId="7" fontId="19" numFmtId="0" xfId="0" applyAlignment="1" applyFont="1">
      <alignment horizontal="center" readingOrder="0" shrinkToFit="0" vertical="center" wrapText="1"/>
    </xf>
    <xf borderId="30" fillId="7" fontId="18" numFmtId="49" xfId="0" applyAlignment="1" applyBorder="1" applyFont="1" applyNumberFormat="1">
      <alignment horizontal="center" shrinkToFit="0" vertical="center" wrapText="1"/>
    </xf>
    <xf borderId="0" fillId="7" fontId="19" numFmtId="0" xfId="0" applyAlignment="1" applyFont="1">
      <alignment horizontal="center" shrinkToFit="0" vertical="center" wrapText="1"/>
    </xf>
    <xf borderId="0" fillId="7" fontId="18" numFmtId="0" xfId="0" applyAlignment="1" applyFont="1">
      <alignment horizontal="center" shrinkToFit="0" vertical="center" wrapText="1"/>
    </xf>
    <xf borderId="30" fillId="7" fontId="18" numFmtId="49" xfId="0" applyAlignment="1" applyBorder="1" applyFont="1" applyNumberFormat="1">
      <alignment horizontal="center" readingOrder="0" shrinkToFit="0" vertical="center" wrapText="1"/>
    </xf>
    <xf borderId="0" fillId="7" fontId="18" numFmtId="49" xfId="0" applyAlignment="1" applyFont="1" applyNumberFormat="1">
      <alignment horizontal="center" readingOrder="0" shrinkToFit="0" vertical="center" wrapText="1"/>
    </xf>
    <xf borderId="0" fillId="7" fontId="19" numFmtId="0" xfId="0" applyAlignment="1" applyFont="1">
      <alignment horizontal="center" readingOrder="0" shrinkToFit="0" vertical="center" wrapText="1"/>
    </xf>
    <xf borderId="0" fillId="7" fontId="18" numFmtId="0" xfId="0" applyAlignment="1" applyFont="1">
      <alignment horizontal="center" readingOrder="0" shrinkToFit="0" vertical="center" wrapText="1"/>
    </xf>
    <xf borderId="31" fillId="7" fontId="18" numFmtId="49" xfId="0" applyAlignment="1" applyBorder="1" applyFont="1" applyNumberFormat="1">
      <alignment horizontal="center" shrinkToFit="0" vertical="center" wrapText="1"/>
    </xf>
    <xf borderId="28" fillId="7" fontId="18" numFmtId="49" xfId="0" applyAlignment="1" applyBorder="1" applyFont="1" applyNumberFormat="1">
      <alignment horizontal="center" shrinkToFit="0" vertical="center" wrapText="1"/>
    </xf>
    <xf borderId="28" fillId="7" fontId="19" numFmtId="0" xfId="0" applyAlignment="1" applyBorder="1" applyFont="1">
      <alignment horizontal="center" shrinkToFit="0" vertical="center" wrapText="1"/>
    </xf>
    <xf borderId="28" fillId="7" fontId="18" numFmtId="0" xfId="0" applyAlignment="1" applyBorder="1" applyFont="1">
      <alignment horizontal="center" shrinkToFit="0" vertical="center" wrapText="1"/>
    </xf>
    <xf borderId="28" fillId="7" fontId="19" numFmtId="0" xfId="0" applyAlignment="1" applyBorder="1" applyFont="1">
      <alignment horizontal="center" shrinkToFit="0" vertical="center" wrapText="1"/>
    </xf>
    <xf borderId="0" fillId="0" fontId="3" numFmtId="0" xfId="0" applyAlignment="1" applyFont="1">
      <alignment shrinkToFit="0" vertical="bottom" wrapText="1"/>
    </xf>
    <xf borderId="25" fillId="7" fontId="15" numFmtId="0" xfId="0" applyAlignment="1" applyBorder="1" applyFont="1">
      <alignment horizontal="center" readingOrder="0" shrinkToFit="0" vertical="center" wrapText="1"/>
    </xf>
    <xf borderId="26" fillId="7" fontId="15" numFmtId="0" xfId="0" applyAlignment="1" applyBorder="1" applyFont="1">
      <alignment horizontal="center" readingOrder="0" shrinkToFit="0" vertical="center" wrapText="1"/>
    </xf>
    <xf borderId="26" fillId="10" fontId="3" numFmtId="0" xfId="0" applyAlignment="1" applyBorder="1" applyFont="1">
      <alignment shrinkToFit="0" vertical="center" wrapText="1"/>
    </xf>
    <xf borderId="0" fillId="0" fontId="21" numFmtId="0" xfId="0" applyAlignment="1" applyFont="1">
      <alignment shrinkToFit="0" wrapText="1"/>
    </xf>
    <xf borderId="30" fillId="7" fontId="18" numFmtId="0" xfId="0" applyAlignment="1" applyBorder="1" applyFont="1">
      <alignment horizontal="center" readingOrder="0" shrinkToFit="0" vertical="center" wrapText="1"/>
    </xf>
    <xf borderId="0" fillId="7" fontId="20" numFmtId="0" xfId="0" applyAlignment="1" applyFont="1">
      <alignment horizontal="center" readingOrder="0" shrinkToFit="0" vertical="center" wrapText="1"/>
    </xf>
  </cellXfs>
  <cellStyles count="1">
    <cellStyle xfId="0" name="Normal" builtinId="0"/>
  </cellStyles>
  <dxfs count="8">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EF"/>
          <bgColor rgb="FFD4D7EF"/>
        </patternFill>
      </fill>
      <border/>
    </dxf>
    <dxf>
      <border>
        <left style="thin">
          <color rgb="FF535FC1"/>
        </left>
        <right style="thin">
          <color rgb="FF535FC1"/>
        </right>
        <top style="thin">
          <color rgb="FF535FC1"/>
        </top>
        <bottom style="thin">
          <color rgb="FF535FC1"/>
        </bottom>
      </border>
    </dxf>
    <dxf>
      <font/>
      <fill>
        <patternFill patternType="solid">
          <fgColor rgb="FFF4F4F4"/>
          <bgColor rgb="FFF4F4F4"/>
        </patternFill>
      </fill>
      <border/>
    </dxf>
    <dxf>
      <font/>
      <fill>
        <patternFill patternType="solid">
          <fgColor rgb="FFF4CCCC"/>
          <bgColor rgb="FFF4CCCC"/>
        </patternFill>
      </fill>
      <border/>
    </dxf>
  </dxfs>
  <tableStyles count="6">
    <tableStyle count="5" pivot="0" name="Example 1-style">
      <tableStyleElement dxfId="1" type="headerRow"/>
      <tableStyleElement dxfId="2" type="firstRowStripe"/>
      <tableStyleElement dxfId="3" type="secondRowStripe"/>
      <tableStyleElement dxfId="4" type="totalRow"/>
      <tableStyleElement dxfId="5" size="0" type="wholeTable"/>
    </tableStyle>
    <tableStyle count="4" pivot="0" name="Example 1-style 2">
      <tableStyleElement dxfId="1" type="headerRow"/>
      <tableStyleElement dxfId="2" type="firstRowStripe"/>
      <tableStyleElement dxfId="6" type="secondRowStripe"/>
      <tableStyleElement dxfId="5" size="0" type="wholeTable"/>
    </tableStyle>
    <tableStyle count="5" pivot="0" name="Example 2-style">
      <tableStyleElement dxfId="1" type="headerRow"/>
      <tableStyleElement dxfId="2" type="firstRowStripe"/>
      <tableStyleElement dxfId="3" type="secondRowStripe"/>
      <tableStyleElement dxfId="4" type="totalRow"/>
      <tableStyleElement dxfId="5" size="0" type="wholeTable"/>
    </tableStyle>
    <tableStyle count="4" pivot="0" name="Example 2-style 2">
      <tableStyleElement dxfId="1" type="headerRow"/>
      <tableStyleElement dxfId="2" type="firstRowStripe"/>
      <tableStyleElement dxfId="6" type="secondRowStripe"/>
      <tableStyleElement dxfId="5" size="0" type="wholeTable"/>
    </tableStyle>
    <tableStyle count="5" pivot="0" name="Example 3-style">
      <tableStyleElement dxfId="1" type="headerRow"/>
      <tableStyleElement dxfId="2" type="firstRowStripe"/>
      <tableStyleElement dxfId="3" type="secondRowStripe"/>
      <tableStyleElement dxfId="4" type="totalRow"/>
      <tableStyleElement dxfId="5" size="0" type="wholeTable"/>
    </tableStyle>
    <tableStyle count="4" pivot="0" name="Example 3-style 2">
      <tableStyleElement dxfId="1" type="headerRow"/>
      <tableStyleElement dxfId="2" type="firstRowStripe"/>
      <tableStyleElement dxfId="6"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B3:E5" displayName="Bill_Summary" name="Bill_Summary" id="1">
  <tableColumns count="4">
    <tableColumn totalsRowFunction="custom" name="$ Tax" id="1"/>
    <tableColumn totalsRowFunction="custom" name="$ Tip " id="2"/>
    <tableColumn name="$ Subtotal" id="3"/>
    <tableColumn name="$ Bill Total" id="4"/>
  </tableColumns>
  <tableStyleInfo name="Example 1-style" showColumnStripes="0" showFirstColumn="1" showLastColumn="1" showRowStripes="1"/>
</table>
</file>

<file path=xl/tables/table2.xml><?xml version="1.0" encoding="utf-8"?>
<table xmlns="http://schemas.openxmlformats.org/spreadsheetml/2006/main" ref="A7:J27" displayName="Order_Details" name="Order_Details" id="2">
  <tableColumns count="10">
    <tableColumn name="Name" id="1"/>
    <tableColumn name="Dish" id="2"/>
    <tableColumn name="$ Price" id="3"/>
    <tableColumn name="Split" id="4"/>
    <tableColumn name="Personal Subtotal" id="5"/>
    <tableColumn name="Tax/Tip Percentage" id="6"/>
    <tableColumn name="Tax/Tip Cost" id="7"/>
    <tableColumn name="Total" id="8"/>
    <tableColumn name="Paid?" id="9"/>
    <tableColumn name="Payment Status" id="10"/>
  </tableColumns>
  <tableStyleInfo name="Example 1-style 2" showColumnStripes="0" showFirstColumn="1" showLastColumn="1" showRowStripes="1"/>
</table>
</file>

<file path=xl/tables/table3.xml><?xml version="1.0" encoding="utf-8"?>
<table xmlns="http://schemas.openxmlformats.org/spreadsheetml/2006/main" totalsRowCount="1" ref="B3:E5" displayName="Bill_Summary_2" name="Bill_Summary_2" id="3">
  <tableColumns count="4">
    <tableColumn totalsRowFunction="custom" name="$ Tax" id="1"/>
    <tableColumn totalsRowFunction="custom" name="$ Tip " id="2"/>
    <tableColumn name="$ Subtotal" id="3"/>
    <tableColumn name="$ Bill Total" id="4"/>
  </tableColumns>
  <tableStyleInfo name="Example 2-style" showColumnStripes="0" showFirstColumn="1" showLastColumn="1" showRowStripes="1"/>
</table>
</file>

<file path=xl/tables/table4.xml><?xml version="1.0" encoding="utf-8"?>
<table xmlns="http://schemas.openxmlformats.org/spreadsheetml/2006/main" ref="A7:J27" displayName="Order_Details_2" name="Order_Details_2" id="4">
  <tableColumns count="10">
    <tableColumn name="Name" id="1"/>
    <tableColumn name="Dish" id="2"/>
    <tableColumn name="$ Price" id="3"/>
    <tableColumn name="Split" id="4"/>
    <tableColumn name="Personal Subtotal" id="5"/>
    <tableColumn name="Tax/Tip Percentage" id="6"/>
    <tableColumn name="Tax/Tip Cost" id="7"/>
    <tableColumn name="Total" id="8"/>
    <tableColumn name="Paid?" id="9"/>
    <tableColumn name="Payment Status" id="10"/>
  </tableColumns>
  <tableStyleInfo name="Example 2-style 2" showColumnStripes="0" showFirstColumn="1" showLastColumn="1" showRowStripes="1"/>
</table>
</file>

<file path=xl/tables/table5.xml><?xml version="1.0" encoding="utf-8"?>
<table xmlns="http://schemas.openxmlformats.org/spreadsheetml/2006/main" totalsRowCount="1" ref="B3:E5" displayName="Bill_Summary_3" name="Bill_Summary_3" id="5">
  <tableColumns count="4">
    <tableColumn totalsRowFunction="custom" name="$ Tax" id="1"/>
    <tableColumn totalsRowFunction="custom" name="$ Tip " id="2"/>
    <tableColumn name="$ Subtotal" id="3"/>
    <tableColumn name="$ Bill Total" id="4"/>
  </tableColumns>
  <tableStyleInfo name="Example 3-style" showColumnStripes="0" showFirstColumn="1" showLastColumn="1" showRowStripes="1"/>
</table>
</file>

<file path=xl/tables/table6.xml><?xml version="1.0" encoding="utf-8"?>
<table xmlns="http://schemas.openxmlformats.org/spreadsheetml/2006/main" ref="A7:J27" displayName="Order_Details_3" name="Order_Details_3" id="6">
  <tableColumns count="10">
    <tableColumn name="Name" id="1"/>
    <tableColumn name="Dish" id="2"/>
    <tableColumn name="$ Price" id="3"/>
    <tableColumn name="Split" id="4"/>
    <tableColumn name="Personal Subtotal" id="5"/>
    <tableColumn name="Tax/Tip Percentage" id="6"/>
    <tableColumn name="Tax/Tip Cost" id="7"/>
    <tableColumn name="Total" id="8"/>
    <tableColumn name="Paid?" id="9"/>
    <tableColumn name="Payment Status" id="10"/>
  </tableColumns>
  <tableStyleInfo name="Example 3-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3"/>
      <c r="I1" s="4"/>
      <c r="J1" s="4"/>
      <c r="K1" s="4"/>
      <c r="L1" s="4"/>
      <c r="M1" s="4"/>
      <c r="N1" s="4"/>
      <c r="O1" s="4"/>
      <c r="P1" s="4"/>
      <c r="Q1" s="4"/>
      <c r="R1" s="4"/>
      <c r="S1" s="4"/>
      <c r="T1" s="4"/>
      <c r="U1" s="4"/>
      <c r="V1" s="4"/>
      <c r="W1" s="4"/>
      <c r="X1" s="4"/>
      <c r="Y1" s="4"/>
      <c r="Z1" s="4"/>
    </row>
    <row r="2">
      <c r="A2" s="5"/>
      <c r="H2" s="6"/>
      <c r="I2" s="4"/>
      <c r="J2" s="4"/>
      <c r="K2" s="4"/>
      <c r="L2" s="4"/>
      <c r="M2" s="4"/>
      <c r="N2" s="4"/>
      <c r="O2" s="4"/>
      <c r="P2" s="4"/>
      <c r="Q2" s="4"/>
      <c r="R2" s="4"/>
      <c r="S2" s="4"/>
      <c r="T2" s="4"/>
      <c r="U2" s="4"/>
      <c r="V2" s="4"/>
      <c r="W2" s="4"/>
      <c r="X2" s="4"/>
      <c r="Y2" s="4"/>
      <c r="Z2" s="4"/>
    </row>
    <row r="3">
      <c r="A3" s="7" t="s">
        <v>1</v>
      </c>
      <c r="H3" s="6"/>
      <c r="I3" s="4"/>
      <c r="J3" s="4"/>
      <c r="K3" s="4"/>
      <c r="L3" s="4"/>
      <c r="M3" s="4"/>
      <c r="N3" s="4"/>
      <c r="O3" s="4"/>
      <c r="P3" s="4"/>
      <c r="Q3" s="4"/>
      <c r="R3" s="4"/>
      <c r="S3" s="4"/>
      <c r="T3" s="4"/>
      <c r="U3" s="4"/>
      <c r="V3" s="4"/>
      <c r="W3" s="4"/>
      <c r="X3" s="4"/>
      <c r="Y3" s="4"/>
      <c r="Z3" s="4"/>
    </row>
    <row r="4">
      <c r="A4" s="8" t="s">
        <v>2</v>
      </c>
      <c r="B4" s="9"/>
      <c r="C4" s="9"/>
      <c r="D4" s="9"/>
      <c r="E4" s="9"/>
      <c r="F4" s="9"/>
      <c r="G4" s="9"/>
      <c r="H4" s="10"/>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11" t="s">
        <v>3</v>
      </c>
      <c r="I6" s="4"/>
      <c r="J6" s="4"/>
      <c r="K6" s="4"/>
      <c r="L6" s="4"/>
      <c r="M6" s="4"/>
      <c r="N6" s="4"/>
      <c r="O6" s="4"/>
      <c r="P6" s="4"/>
      <c r="Q6" s="4"/>
      <c r="R6" s="4"/>
      <c r="S6" s="4"/>
      <c r="T6" s="4"/>
      <c r="U6" s="4"/>
      <c r="V6" s="4"/>
      <c r="W6" s="4"/>
      <c r="X6" s="4"/>
      <c r="Y6" s="4"/>
      <c r="Z6" s="4"/>
    </row>
    <row r="7" ht="18.75" customHeight="1">
      <c r="A7" s="12" t="s">
        <v>4</v>
      </c>
      <c r="B7" s="2"/>
      <c r="C7" s="2"/>
      <c r="D7" s="2"/>
      <c r="E7" s="2"/>
      <c r="F7" s="2"/>
      <c r="G7" s="2"/>
      <c r="H7" s="3"/>
      <c r="I7" s="4"/>
      <c r="J7" s="4"/>
      <c r="K7" s="4"/>
      <c r="L7" s="4"/>
      <c r="M7" s="4"/>
      <c r="N7" s="4"/>
      <c r="O7" s="4"/>
      <c r="P7" s="4"/>
      <c r="Q7" s="4"/>
      <c r="R7" s="4"/>
      <c r="S7" s="4"/>
      <c r="T7" s="4"/>
      <c r="U7" s="4"/>
      <c r="V7" s="4"/>
      <c r="W7" s="4"/>
      <c r="X7" s="4"/>
      <c r="Y7" s="4"/>
      <c r="Z7" s="4"/>
    </row>
    <row r="8" ht="18.75" customHeight="1">
      <c r="A8" s="5"/>
      <c r="H8" s="6"/>
      <c r="I8" s="4"/>
      <c r="J8" s="4"/>
      <c r="K8" s="4"/>
      <c r="L8" s="4"/>
      <c r="M8" s="4"/>
      <c r="N8" s="4"/>
      <c r="O8" s="4"/>
      <c r="P8" s="4"/>
      <c r="Q8" s="4"/>
      <c r="R8" s="4"/>
      <c r="S8" s="4"/>
      <c r="T8" s="4"/>
      <c r="U8" s="4"/>
      <c r="V8" s="4"/>
      <c r="W8" s="4"/>
      <c r="X8" s="4"/>
      <c r="Y8" s="4"/>
      <c r="Z8" s="4"/>
    </row>
    <row r="9" ht="18.75" customHeight="1">
      <c r="A9" s="13"/>
      <c r="B9" s="9"/>
      <c r="C9" s="9"/>
      <c r="D9" s="9"/>
      <c r="E9" s="9"/>
      <c r="F9" s="9"/>
      <c r="G9" s="9"/>
      <c r="H9" s="10"/>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11" t="s">
        <v>5</v>
      </c>
      <c r="I11" s="4"/>
      <c r="J11" s="4"/>
      <c r="K11" s="4"/>
      <c r="L11" s="4"/>
      <c r="M11" s="4"/>
      <c r="N11" s="4"/>
      <c r="O11" s="4"/>
      <c r="P11" s="4"/>
      <c r="Q11" s="4"/>
      <c r="R11" s="4"/>
      <c r="S11" s="4"/>
      <c r="T11" s="4"/>
      <c r="U11" s="4"/>
      <c r="V11" s="4"/>
      <c r="W11" s="4"/>
      <c r="X11" s="4"/>
      <c r="Y11" s="4"/>
      <c r="Z11" s="4"/>
    </row>
    <row r="12" ht="52.5" customHeight="1">
      <c r="A12" s="14" t="s">
        <v>6</v>
      </c>
      <c r="H12" s="15"/>
      <c r="I12" s="4"/>
      <c r="J12" s="4"/>
      <c r="K12" s="4"/>
      <c r="L12" s="4"/>
      <c r="M12" s="4"/>
      <c r="N12" s="4"/>
      <c r="O12" s="4"/>
      <c r="P12" s="4"/>
      <c r="Q12" s="4"/>
      <c r="R12" s="4"/>
      <c r="S12" s="4"/>
      <c r="T12" s="4"/>
      <c r="U12" s="4"/>
      <c r="V12" s="4"/>
      <c r="W12" s="4"/>
      <c r="X12" s="4"/>
      <c r="Y12" s="4"/>
      <c r="Z12" s="4"/>
    </row>
    <row r="13" ht="52.5" customHeight="1">
      <c r="A13" s="16"/>
      <c r="H13" s="15"/>
      <c r="I13" s="4"/>
      <c r="J13" s="4"/>
      <c r="K13" s="4"/>
      <c r="L13" s="4"/>
      <c r="M13" s="4"/>
      <c r="N13" s="4"/>
      <c r="O13" s="4"/>
      <c r="P13" s="4"/>
      <c r="Q13" s="4"/>
      <c r="R13" s="4"/>
      <c r="S13" s="4"/>
      <c r="T13" s="4"/>
      <c r="U13" s="4"/>
      <c r="V13" s="4"/>
      <c r="W13" s="4"/>
      <c r="X13" s="4"/>
      <c r="Y13" s="4"/>
      <c r="Z13" s="4"/>
    </row>
    <row r="14" ht="52.5" customHeight="1">
      <c r="A14" s="16"/>
      <c r="H14" s="15"/>
      <c r="I14" s="4"/>
      <c r="J14" s="4"/>
      <c r="K14" s="4"/>
      <c r="L14" s="4"/>
      <c r="M14" s="4"/>
      <c r="N14" s="4"/>
      <c r="O14" s="4"/>
      <c r="P14" s="4"/>
      <c r="Q14" s="4"/>
      <c r="R14" s="4"/>
      <c r="S14" s="4"/>
      <c r="T14" s="4"/>
      <c r="U14" s="4"/>
      <c r="V14" s="4"/>
      <c r="W14" s="4"/>
      <c r="X14" s="4"/>
      <c r="Y14" s="4"/>
      <c r="Z14" s="4"/>
    </row>
    <row r="15" ht="52.5" customHeight="1">
      <c r="A15" s="16"/>
      <c r="H15" s="15"/>
      <c r="I15" s="4"/>
      <c r="J15" s="4"/>
      <c r="K15" s="4"/>
      <c r="L15" s="4"/>
      <c r="M15" s="4"/>
      <c r="N15" s="4"/>
      <c r="O15" s="4"/>
      <c r="P15" s="4"/>
      <c r="Q15" s="4"/>
      <c r="R15" s="4"/>
      <c r="S15" s="4"/>
      <c r="T15" s="4"/>
      <c r="U15" s="4"/>
      <c r="V15" s="4"/>
      <c r="W15" s="4"/>
      <c r="X15" s="4"/>
      <c r="Y15" s="4"/>
      <c r="Z15" s="4"/>
    </row>
    <row r="16" ht="52.5" customHeight="1">
      <c r="A16" s="16"/>
      <c r="H16" s="15"/>
      <c r="I16" s="4"/>
      <c r="J16" s="4"/>
      <c r="K16" s="4"/>
      <c r="L16" s="4"/>
      <c r="M16" s="4"/>
      <c r="N16" s="4"/>
      <c r="O16" s="4"/>
      <c r="P16" s="4"/>
      <c r="Q16" s="4"/>
      <c r="R16" s="4"/>
      <c r="S16" s="4"/>
      <c r="T16" s="4"/>
      <c r="U16" s="4"/>
      <c r="V16" s="4"/>
      <c r="W16" s="4"/>
      <c r="X16" s="4"/>
      <c r="Y16" s="4"/>
      <c r="Z16" s="4"/>
    </row>
    <row r="17" ht="52.5" customHeight="1">
      <c r="A17" s="16"/>
      <c r="H17" s="15"/>
      <c r="I17" s="4"/>
      <c r="J17" s="4"/>
      <c r="K17" s="4"/>
      <c r="L17" s="4"/>
      <c r="M17" s="4"/>
      <c r="N17" s="4"/>
      <c r="O17" s="4"/>
      <c r="P17" s="4"/>
      <c r="Q17" s="4"/>
      <c r="R17" s="4"/>
      <c r="S17" s="4"/>
      <c r="T17" s="4"/>
      <c r="U17" s="4"/>
      <c r="V17" s="4"/>
      <c r="W17" s="4"/>
      <c r="X17" s="4"/>
      <c r="Y17" s="4"/>
      <c r="Z17" s="4"/>
    </row>
    <row r="18" ht="52.5" customHeight="1">
      <c r="A18" s="17"/>
      <c r="B18" s="18"/>
      <c r="C18" s="18"/>
      <c r="D18" s="18"/>
      <c r="E18" s="18"/>
      <c r="F18" s="18"/>
      <c r="G18" s="18"/>
      <c r="H18" s="19"/>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11" t="s">
        <v>7</v>
      </c>
      <c r="I20" s="4"/>
      <c r="J20" s="4"/>
      <c r="K20" s="4"/>
      <c r="L20" s="4"/>
      <c r="M20" s="4"/>
      <c r="N20" s="4"/>
      <c r="O20" s="4"/>
      <c r="P20" s="4"/>
      <c r="Q20" s="4"/>
      <c r="R20" s="4"/>
      <c r="S20" s="4"/>
      <c r="T20" s="4"/>
      <c r="U20" s="4"/>
      <c r="V20" s="4"/>
      <c r="W20" s="4"/>
      <c r="X20" s="4"/>
      <c r="Y20" s="4"/>
      <c r="Z20" s="4"/>
    </row>
    <row r="21">
      <c r="A21" s="20" t="s">
        <v>8</v>
      </c>
      <c r="B21" s="21"/>
      <c r="C21" s="20" t="s">
        <v>9</v>
      </c>
      <c r="D21" s="22"/>
      <c r="E21" s="22"/>
      <c r="F21" s="22"/>
      <c r="G21" s="22"/>
      <c r="H21" s="21"/>
      <c r="I21" s="4"/>
      <c r="J21" s="4"/>
      <c r="K21" s="4"/>
      <c r="L21" s="4"/>
      <c r="M21" s="4"/>
      <c r="N21" s="4"/>
      <c r="O21" s="4"/>
      <c r="P21" s="4"/>
      <c r="Q21" s="4"/>
      <c r="R21" s="4"/>
      <c r="S21" s="4"/>
      <c r="T21" s="4"/>
      <c r="U21" s="4"/>
      <c r="V21" s="4"/>
      <c r="W21" s="4"/>
      <c r="X21" s="4"/>
      <c r="Y21" s="4"/>
      <c r="Z21" s="4"/>
    </row>
    <row r="22">
      <c r="A22" s="23" t="s">
        <v>10</v>
      </c>
      <c r="B22" s="21"/>
      <c r="C22" s="24" t="s">
        <v>11</v>
      </c>
      <c r="D22" s="22"/>
      <c r="E22" s="22"/>
      <c r="F22" s="22"/>
      <c r="G22" s="22"/>
      <c r="H22" s="21"/>
      <c r="I22" s="4"/>
      <c r="J22" s="4"/>
      <c r="K22" s="4"/>
      <c r="L22" s="4"/>
      <c r="M22" s="4"/>
      <c r="N22" s="4"/>
      <c r="O22" s="4"/>
      <c r="P22" s="4"/>
      <c r="Q22" s="4"/>
      <c r="R22" s="4"/>
      <c r="S22" s="4"/>
      <c r="T22" s="4"/>
      <c r="U22" s="4"/>
      <c r="V22" s="4"/>
      <c r="W22" s="4"/>
      <c r="X22" s="4"/>
      <c r="Y22" s="4"/>
      <c r="Z22" s="4"/>
    </row>
    <row r="23">
      <c r="A23" s="25" t="s">
        <v>12</v>
      </c>
      <c r="B23" s="21"/>
      <c r="C23" s="24" t="s">
        <v>13</v>
      </c>
      <c r="D23" s="22"/>
      <c r="E23" s="22"/>
      <c r="F23" s="22"/>
      <c r="G23" s="22"/>
      <c r="H23" s="21"/>
      <c r="I23" s="4"/>
      <c r="J23" s="4"/>
      <c r="K23" s="4"/>
      <c r="L23" s="4"/>
      <c r="M23" s="4"/>
      <c r="N23" s="4"/>
      <c r="O23" s="4"/>
      <c r="P23" s="4"/>
      <c r="Q23" s="4"/>
      <c r="R23" s="4"/>
      <c r="S23" s="4"/>
      <c r="T23" s="4"/>
      <c r="U23" s="4"/>
      <c r="V23" s="4"/>
      <c r="W23" s="4"/>
      <c r="X23" s="4"/>
      <c r="Y23" s="4"/>
      <c r="Z23" s="4"/>
    </row>
    <row r="24">
      <c r="A24" s="25" t="s">
        <v>14</v>
      </c>
      <c r="B24" s="21"/>
      <c r="C24" s="24" t="s">
        <v>15</v>
      </c>
      <c r="D24" s="22"/>
      <c r="E24" s="22"/>
      <c r="F24" s="22"/>
      <c r="G24" s="22"/>
      <c r="H24" s="21"/>
      <c r="I24" s="4"/>
      <c r="J24" s="4"/>
      <c r="K24" s="4"/>
      <c r="L24" s="4"/>
      <c r="M24" s="4"/>
      <c r="N24" s="4"/>
      <c r="O24" s="4"/>
      <c r="P24" s="4"/>
      <c r="Q24" s="4"/>
      <c r="R24" s="4"/>
      <c r="S24" s="4"/>
      <c r="T24" s="4"/>
      <c r="U24" s="4"/>
      <c r="V24" s="4"/>
      <c r="W24" s="4"/>
      <c r="X24" s="4"/>
      <c r="Y24" s="4"/>
      <c r="Z24" s="4"/>
    </row>
    <row r="25">
      <c r="A25" s="25" t="s">
        <v>16</v>
      </c>
      <c r="B25" s="21"/>
      <c r="C25" s="24" t="s">
        <v>17</v>
      </c>
      <c r="D25" s="22"/>
      <c r="E25" s="22"/>
      <c r="F25" s="22"/>
      <c r="G25" s="22"/>
      <c r="H25" s="21"/>
      <c r="I25" s="4"/>
      <c r="J25" s="4"/>
      <c r="K25" s="4"/>
      <c r="L25" s="4"/>
      <c r="M25" s="4"/>
      <c r="N25" s="4"/>
      <c r="O25" s="4"/>
      <c r="P25" s="4"/>
      <c r="Q25" s="4"/>
      <c r="R25" s="4"/>
      <c r="S25" s="4"/>
      <c r="T25" s="4"/>
      <c r="U25" s="4"/>
      <c r="V25" s="4"/>
      <c r="W25" s="4"/>
      <c r="X25" s="4"/>
      <c r="Y25" s="4"/>
      <c r="Z25" s="4"/>
    </row>
    <row r="26">
      <c r="A26" s="25" t="s">
        <v>18</v>
      </c>
      <c r="B26" s="21"/>
      <c r="C26" s="24" t="s">
        <v>19</v>
      </c>
      <c r="D26" s="22"/>
      <c r="E26" s="22"/>
      <c r="F26" s="22"/>
      <c r="G26" s="22"/>
      <c r="H26" s="21"/>
      <c r="I26" s="4"/>
      <c r="J26" s="4"/>
      <c r="K26" s="4"/>
      <c r="L26" s="4"/>
      <c r="M26" s="4"/>
      <c r="N26" s="4"/>
      <c r="O26" s="4"/>
      <c r="P26" s="4"/>
      <c r="Q26" s="4"/>
      <c r="R26" s="4"/>
      <c r="S26" s="4"/>
      <c r="T26" s="4"/>
      <c r="U26" s="4"/>
      <c r="V26" s="4"/>
      <c r="W26" s="4"/>
      <c r="X26" s="4"/>
      <c r="Y26" s="4"/>
      <c r="Z26" s="4"/>
    </row>
    <row r="27">
      <c r="A27" s="25" t="s">
        <v>20</v>
      </c>
      <c r="B27" s="21"/>
      <c r="C27" s="24" t="s">
        <v>21</v>
      </c>
      <c r="D27" s="22"/>
      <c r="E27" s="22"/>
      <c r="F27" s="22"/>
      <c r="G27" s="22"/>
      <c r="H27" s="21"/>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11" t="s">
        <v>22</v>
      </c>
      <c r="I29" s="4"/>
      <c r="J29" s="4"/>
      <c r="K29" s="4"/>
      <c r="L29" s="4"/>
      <c r="M29" s="4"/>
      <c r="N29" s="4"/>
      <c r="O29" s="4"/>
      <c r="P29" s="4"/>
      <c r="Q29" s="4"/>
      <c r="R29" s="4"/>
      <c r="S29" s="4"/>
      <c r="T29" s="4"/>
      <c r="U29" s="4"/>
      <c r="V29" s="4"/>
      <c r="W29" s="4"/>
      <c r="X29" s="4"/>
      <c r="Y29" s="4"/>
      <c r="Z29" s="4"/>
    </row>
    <row r="30">
      <c r="A30" s="26" t="s">
        <v>23</v>
      </c>
      <c r="B30" s="27"/>
      <c r="C30" s="27"/>
      <c r="D30" s="27"/>
      <c r="E30" s="27"/>
      <c r="F30" s="27"/>
      <c r="G30" s="27"/>
      <c r="H30" s="28"/>
      <c r="I30" s="4"/>
      <c r="J30" s="4"/>
      <c r="K30" s="4"/>
      <c r="L30" s="4"/>
      <c r="M30" s="4"/>
      <c r="N30" s="4"/>
      <c r="O30" s="4"/>
      <c r="P30" s="4"/>
      <c r="Q30" s="4"/>
      <c r="R30" s="4"/>
      <c r="S30" s="4"/>
      <c r="T30" s="4"/>
      <c r="U30" s="4"/>
      <c r="V30" s="4"/>
      <c r="W30" s="4"/>
      <c r="X30" s="4"/>
      <c r="Y30" s="4"/>
      <c r="Z30" s="4"/>
    </row>
    <row r="31">
      <c r="A31" s="16"/>
      <c r="H31" s="15"/>
      <c r="I31" s="4"/>
      <c r="J31" s="4"/>
      <c r="K31" s="4"/>
      <c r="L31" s="4"/>
      <c r="M31" s="4"/>
      <c r="N31" s="4"/>
      <c r="O31" s="4"/>
      <c r="P31" s="4"/>
      <c r="Q31" s="4"/>
      <c r="R31" s="4"/>
      <c r="S31" s="4"/>
      <c r="T31" s="4"/>
      <c r="U31" s="4"/>
      <c r="V31" s="4"/>
      <c r="W31" s="4"/>
      <c r="X31" s="4"/>
      <c r="Y31" s="4"/>
      <c r="Z31" s="4"/>
    </row>
    <row r="32">
      <c r="A32" s="16"/>
      <c r="H32" s="15"/>
      <c r="I32" s="4"/>
      <c r="J32" s="4"/>
      <c r="K32" s="4"/>
      <c r="L32" s="4"/>
      <c r="M32" s="4"/>
      <c r="N32" s="4"/>
      <c r="O32" s="4"/>
      <c r="P32" s="4"/>
      <c r="Q32" s="4"/>
      <c r="R32" s="4"/>
      <c r="S32" s="4"/>
      <c r="T32" s="4"/>
      <c r="U32" s="4"/>
      <c r="V32" s="4"/>
      <c r="W32" s="4"/>
      <c r="X32" s="4"/>
      <c r="Y32" s="4"/>
      <c r="Z32" s="4"/>
    </row>
    <row r="33">
      <c r="A33" s="16"/>
      <c r="H33" s="15"/>
      <c r="I33" s="4"/>
      <c r="J33" s="4"/>
      <c r="K33" s="4"/>
      <c r="L33" s="4"/>
      <c r="M33" s="4"/>
      <c r="N33" s="4"/>
      <c r="O33" s="4"/>
      <c r="P33" s="4"/>
      <c r="Q33" s="4"/>
      <c r="R33" s="4"/>
      <c r="S33" s="4"/>
      <c r="T33" s="4"/>
      <c r="U33" s="4"/>
      <c r="V33" s="4"/>
      <c r="W33" s="4"/>
      <c r="X33" s="4"/>
      <c r="Y33" s="4"/>
      <c r="Z33" s="4"/>
    </row>
    <row r="34">
      <c r="A34" s="17"/>
      <c r="B34" s="18"/>
      <c r="C34" s="18"/>
      <c r="D34" s="18"/>
      <c r="E34" s="18"/>
      <c r="F34" s="18"/>
      <c r="G34" s="18"/>
      <c r="H34" s="19"/>
      <c r="I34" s="4"/>
      <c r="J34" s="4"/>
      <c r="K34" s="4"/>
      <c r="L34" s="4"/>
      <c r="M34" s="4"/>
      <c r="N34" s="4"/>
      <c r="O34" s="4"/>
      <c r="P34" s="4"/>
      <c r="Q34" s="4"/>
      <c r="R34" s="4"/>
      <c r="S34" s="4"/>
      <c r="T34" s="4"/>
      <c r="U34" s="4"/>
      <c r="V34" s="4"/>
      <c r="W34" s="4"/>
      <c r="X34" s="4"/>
      <c r="Y34" s="4"/>
      <c r="Z34" s="4"/>
    </row>
    <row r="35">
      <c r="A35" s="29"/>
      <c r="B35" s="4"/>
      <c r="C35" s="4"/>
      <c r="D35" s="4"/>
      <c r="E35" s="4"/>
      <c r="F35" s="4"/>
      <c r="G35" s="4"/>
      <c r="H35" s="4"/>
      <c r="I35" s="4"/>
      <c r="J35" s="4"/>
      <c r="K35" s="4"/>
      <c r="L35" s="4"/>
      <c r="M35" s="4"/>
      <c r="N35" s="4"/>
      <c r="O35" s="4"/>
      <c r="P35" s="4"/>
      <c r="Q35" s="4"/>
      <c r="R35" s="4"/>
      <c r="S35" s="4"/>
      <c r="T35" s="4"/>
      <c r="U35" s="4"/>
      <c r="V35" s="4"/>
      <c r="W35" s="4"/>
      <c r="X35" s="4"/>
      <c r="Y35" s="4"/>
      <c r="Z35" s="4"/>
    </row>
    <row r="36">
      <c r="A36" s="11" t="s">
        <v>24</v>
      </c>
      <c r="I36" s="4"/>
      <c r="J36" s="4"/>
      <c r="K36" s="4"/>
      <c r="L36" s="4"/>
      <c r="M36" s="4"/>
      <c r="N36" s="4"/>
      <c r="O36" s="4"/>
      <c r="P36" s="4"/>
      <c r="Q36" s="4"/>
      <c r="R36" s="4"/>
      <c r="S36" s="4"/>
      <c r="T36" s="4"/>
      <c r="U36" s="4"/>
      <c r="V36" s="4"/>
      <c r="W36" s="4"/>
      <c r="X36" s="4"/>
      <c r="Y36" s="4"/>
      <c r="Z36" s="4"/>
    </row>
    <row r="37">
      <c r="A37" s="26" t="s">
        <v>25</v>
      </c>
      <c r="B37" s="27"/>
      <c r="C37" s="27"/>
      <c r="D37" s="27"/>
      <c r="E37" s="27"/>
      <c r="F37" s="27"/>
      <c r="G37" s="27"/>
      <c r="H37" s="28"/>
      <c r="I37" s="4"/>
      <c r="J37" s="4"/>
      <c r="K37" s="4"/>
      <c r="L37" s="4"/>
      <c r="M37" s="4"/>
      <c r="N37" s="4"/>
      <c r="O37" s="4"/>
      <c r="P37" s="4"/>
      <c r="Q37" s="4"/>
      <c r="R37" s="4"/>
      <c r="S37" s="4"/>
      <c r="T37" s="4"/>
      <c r="U37" s="4"/>
      <c r="V37" s="4"/>
      <c r="W37" s="4"/>
      <c r="X37" s="4"/>
      <c r="Y37" s="4"/>
      <c r="Z37" s="4"/>
    </row>
    <row r="38">
      <c r="A38" s="16"/>
      <c r="H38" s="15"/>
      <c r="I38" s="4"/>
      <c r="J38" s="4"/>
      <c r="K38" s="4"/>
      <c r="L38" s="4"/>
      <c r="M38" s="4"/>
      <c r="N38" s="4"/>
      <c r="O38" s="4"/>
      <c r="P38" s="4"/>
      <c r="Q38" s="4"/>
      <c r="R38" s="4"/>
      <c r="S38" s="4"/>
      <c r="T38" s="4"/>
      <c r="U38" s="4"/>
      <c r="V38" s="4"/>
      <c r="W38" s="4"/>
      <c r="X38" s="4"/>
      <c r="Y38" s="4"/>
      <c r="Z38" s="4"/>
    </row>
    <row r="39">
      <c r="A39" s="17"/>
      <c r="B39" s="18"/>
      <c r="C39" s="18"/>
      <c r="D39" s="18"/>
      <c r="E39" s="18"/>
      <c r="F39" s="18"/>
      <c r="G39" s="18"/>
      <c r="H39" s="19"/>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30" t="s">
        <v>26</v>
      </c>
      <c r="B41" s="2"/>
      <c r="C41" s="2"/>
      <c r="D41" s="2"/>
      <c r="E41" s="2"/>
      <c r="F41" s="2"/>
      <c r="G41" s="2"/>
      <c r="H41" s="3"/>
      <c r="I41" s="4"/>
      <c r="J41" s="4"/>
      <c r="K41" s="4"/>
      <c r="L41" s="4"/>
      <c r="M41" s="4"/>
      <c r="N41" s="4"/>
      <c r="O41" s="4"/>
      <c r="P41" s="4"/>
      <c r="Q41" s="4"/>
      <c r="R41" s="4"/>
      <c r="S41" s="4"/>
      <c r="T41" s="4"/>
      <c r="U41" s="4"/>
      <c r="V41" s="4"/>
      <c r="W41" s="4"/>
      <c r="X41" s="4"/>
      <c r="Y41" s="4"/>
      <c r="Z41" s="4"/>
    </row>
    <row r="42">
      <c r="A42" s="31" t="s">
        <v>27</v>
      </c>
      <c r="H42" s="6"/>
      <c r="I42" s="4"/>
      <c r="J42" s="4"/>
      <c r="K42" s="4"/>
      <c r="L42" s="4"/>
      <c r="M42" s="4"/>
      <c r="N42" s="4"/>
      <c r="O42" s="4"/>
      <c r="P42" s="4"/>
      <c r="Q42" s="4"/>
      <c r="R42" s="4"/>
      <c r="S42" s="4"/>
      <c r="T42" s="4"/>
      <c r="U42" s="4"/>
      <c r="V42" s="4"/>
      <c r="W42" s="4"/>
      <c r="X42" s="4"/>
      <c r="Y42" s="4"/>
      <c r="Z42" s="4"/>
    </row>
    <row r="43">
      <c r="A43" s="5"/>
      <c r="H43" s="6"/>
      <c r="I43" s="4"/>
      <c r="J43" s="4"/>
      <c r="K43" s="4"/>
      <c r="L43" s="4"/>
      <c r="M43" s="4"/>
      <c r="N43" s="4"/>
      <c r="O43" s="4"/>
      <c r="P43" s="4"/>
      <c r="Q43" s="4"/>
      <c r="R43" s="4"/>
      <c r="S43" s="4"/>
      <c r="T43" s="4"/>
      <c r="U43" s="4"/>
      <c r="V43" s="4"/>
      <c r="W43" s="4"/>
      <c r="X43" s="4"/>
      <c r="Y43" s="4"/>
      <c r="Z43" s="4"/>
    </row>
    <row r="44">
      <c r="A44" s="5"/>
      <c r="H44" s="6"/>
      <c r="I44" s="4"/>
      <c r="J44" s="4"/>
      <c r="K44" s="4"/>
      <c r="L44" s="4"/>
      <c r="M44" s="4"/>
      <c r="N44" s="4"/>
      <c r="O44" s="4"/>
      <c r="P44" s="4"/>
      <c r="Q44" s="4"/>
      <c r="R44" s="4"/>
      <c r="S44" s="4"/>
      <c r="T44" s="4"/>
      <c r="U44" s="4"/>
      <c r="V44" s="4"/>
      <c r="W44" s="4"/>
      <c r="X44" s="4"/>
      <c r="Y44" s="4"/>
      <c r="Z44" s="4"/>
    </row>
    <row r="45">
      <c r="A45" s="13"/>
      <c r="B45" s="9"/>
      <c r="C45" s="9"/>
      <c r="D45" s="9"/>
      <c r="E45" s="9"/>
      <c r="F45" s="9"/>
      <c r="G45" s="9"/>
      <c r="H45" s="10"/>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28">
    <mergeCell ref="A1:H2"/>
    <mergeCell ref="A3:H3"/>
    <mergeCell ref="A4:H4"/>
    <mergeCell ref="A6:H6"/>
    <mergeCell ref="A7:H9"/>
    <mergeCell ref="A11:H11"/>
    <mergeCell ref="A12:H18"/>
    <mergeCell ref="A20:H20"/>
    <mergeCell ref="A21:B21"/>
    <mergeCell ref="C21:H21"/>
    <mergeCell ref="A22:B22"/>
    <mergeCell ref="C22:H22"/>
    <mergeCell ref="A23:B23"/>
    <mergeCell ref="C23:H23"/>
    <mergeCell ref="C27:H27"/>
    <mergeCell ref="A29:H29"/>
    <mergeCell ref="A30:H34"/>
    <mergeCell ref="A36:H36"/>
    <mergeCell ref="A37:H39"/>
    <mergeCell ref="A41:H41"/>
    <mergeCell ref="A42:H45"/>
    <mergeCell ref="A24:B24"/>
    <mergeCell ref="C24:H24"/>
    <mergeCell ref="A25:B25"/>
    <mergeCell ref="C25:H25"/>
    <mergeCell ref="A26:B26"/>
    <mergeCell ref="C26:H26"/>
    <mergeCell ref="A27:B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 customWidth="1" min="3" max="3" width="15.88"/>
    <col customWidth="1" min="4" max="4" width="13.88"/>
    <col customWidth="1" min="6" max="6" width="15.0"/>
    <col customWidth="1" min="9" max="9" width="9.88"/>
    <col customWidth="1" min="10" max="10" width="17.0"/>
  </cols>
  <sheetData>
    <row r="1">
      <c r="A1" s="32" t="s">
        <v>28</v>
      </c>
      <c r="K1" s="29"/>
      <c r="L1" s="29"/>
      <c r="M1" s="29"/>
      <c r="N1" s="29"/>
      <c r="O1" s="29"/>
      <c r="P1" s="29"/>
      <c r="Q1" s="29"/>
      <c r="R1" s="29"/>
      <c r="S1" s="29"/>
      <c r="T1" s="29"/>
      <c r="U1" s="29"/>
      <c r="V1" s="29"/>
      <c r="W1" s="29"/>
      <c r="X1" s="29"/>
      <c r="Y1" s="29"/>
      <c r="Z1" s="29"/>
      <c r="AA1" s="29"/>
    </row>
    <row r="2">
      <c r="A2" s="33" t="s">
        <v>29</v>
      </c>
      <c r="B2" s="29"/>
      <c r="C2" s="29"/>
      <c r="D2" s="29"/>
      <c r="E2" s="29"/>
      <c r="F2" s="34" t="s">
        <v>30</v>
      </c>
      <c r="G2" s="35"/>
      <c r="H2" s="35"/>
      <c r="I2" s="35"/>
      <c r="J2" s="36"/>
      <c r="K2" s="29"/>
      <c r="L2" s="29"/>
      <c r="M2" s="29"/>
      <c r="N2" s="29"/>
      <c r="O2" s="29"/>
      <c r="P2" s="29"/>
      <c r="Q2" s="29"/>
      <c r="R2" s="29"/>
      <c r="S2" s="29"/>
      <c r="T2" s="29"/>
      <c r="U2" s="29"/>
      <c r="V2" s="29"/>
      <c r="W2" s="29"/>
      <c r="X2" s="29"/>
      <c r="Y2" s="29"/>
      <c r="Z2" s="29"/>
      <c r="AA2" s="29"/>
    </row>
    <row r="3" ht="26.25" customHeight="1">
      <c r="A3" s="37"/>
      <c r="B3" s="38" t="s">
        <v>31</v>
      </c>
      <c r="C3" s="39" t="s">
        <v>32</v>
      </c>
      <c r="D3" s="39" t="s">
        <v>33</v>
      </c>
      <c r="E3" s="39" t="s">
        <v>34</v>
      </c>
      <c r="F3" s="40" t="s">
        <v>35</v>
      </c>
      <c r="J3" s="41"/>
      <c r="K3" s="29"/>
      <c r="L3" s="29"/>
      <c r="M3" s="29"/>
      <c r="N3" s="29"/>
      <c r="O3" s="29"/>
      <c r="P3" s="29"/>
      <c r="Q3" s="29"/>
      <c r="R3" s="29"/>
      <c r="S3" s="29"/>
      <c r="T3" s="29"/>
      <c r="U3" s="29"/>
      <c r="V3" s="29"/>
      <c r="W3" s="29"/>
      <c r="X3" s="29"/>
      <c r="Y3" s="29"/>
      <c r="Z3" s="29"/>
      <c r="AA3" s="29"/>
    </row>
    <row r="4" ht="26.25" customHeight="1">
      <c r="A4" s="37"/>
      <c r="B4" s="42">
        <v>3.28</v>
      </c>
      <c r="C4" s="43">
        <v>5.81</v>
      </c>
      <c r="D4" s="44">
        <f>SUM(Order_Details[$ Price])</f>
        <v>35.45</v>
      </c>
      <c r="E4" s="44">
        <f>ROUND(SUM(H:H),4)</f>
        <v>44.5409</v>
      </c>
      <c r="F4" s="40" t="s">
        <v>36</v>
      </c>
      <c r="J4" s="41"/>
      <c r="K4" s="29"/>
      <c r="L4" s="29"/>
      <c r="M4" s="29"/>
      <c r="N4" s="29"/>
      <c r="O4" s="29"/>
      <c r="P4" s="29"/>
      <c r="Q4" s="29"/>
      <c r="R4" s="29"/>
      <c r="S4" s="29"/>
      <c r="T4" s="29"/>
      <c r="U4" s="29"/>
      <c r="V4" s="29"/>
      <c r="W4" s="29"/>
      <c r="X4" s="29"/>
      <c r="Y4" s="29"/>
      <c r="Z4" s="29"/>
      <c r="AA4" s="29"/>
    </row>
    <row r="5" ht="26.25" customHeight="1">
      <c r="A5" s="37"/>
      <c r="B5" s="45" t="str">
        <f>IFERROR("("&amp;TEXT(SUM(Bill_Summary[$ Tax]/Bill_Summary[$ Subtotal]),"#,##0.00%")&amp;")",0)</f>
        <v>(9.25%)</v>
      </c>
      <c r="C5" s="46" t="str">
        <f>IFERROR("("&amp;TEXT(SUM($C$4/$D$4),"#,##0.00%")&amp;")",0)</f>
        <v>(16.39%)</v>
      </c>
      <c r="D5" s="47"/>
      <c r="E5" s="47"/>
      <c r="F5" s="48" t="s">
        <v>37</v>
      </c>
      <c r="G5" s="49"/>
      <c r="H5" s="49"/>
      <c r="I5" s="49"/>
      <c r="J5" s="50"/>
      <c r="K5" s="29"/>
      <c r="L5" s="29"/>
      <c r="M5" s="29"/>
      <c r="N5" s="29"/>
      <c r="O5" s="29"/>
      <c r="P5" s="29"/>
      <c r="Q5" s="29"/>
      <c r="R5" s="29"/>
      <c r="S5" s="29"/>
      <c r="T5" s="29"/>
      <c r="U5" s="29"/>
      <c r="V5" s="29"/>
      <c r="W5" s="29"/>
      <c r="X5" s="29"/>
      <c r="Y5" s="29"/>
      <c r="Z5" s="29"/>
      <c r="AA5" s="29"/>
    </row>
    <row r="6">
      <c r="A6" s="29"/>
      <c r="B6" s="29"/>
      <c r="C6" s="29"/>
      <c r="D6" s="29"/>
      <c r="E6" s="29"/>
      <c r="F6" s="29"/>
      <c r="G6" s="29"/>
      <c r="H6" s="29"/>
      <c r="I6" s="29"/>
      <c r="J6" s="29"/>
      <c r="K6" s="29"/>
      <c r="L6" s="29"/>
      <c r="M6" s="29"/>
      <c r="N6" s="29"/>
      <c r="O6" s="29"/>
      <c r="P6" s="29"/>
      <c r="Q6" s="29"/>
      <c r="R6" s="29"/>
      <c r="S6" s="29"/>
      <c r="T6" s="29"/>
      <c r="U6" s="29"/>
      <c r="V6" s="29"/>
      <c r="W6" s="29"/>
      <c r="X6" s="29"/>
      <c r="Y6" s="29"/>
      <c r="Z6" s="29"/>
      <c r="AA6" s="29"/>
    </row>
    <row r="7" ht="22.5" customHeight="1">
      <c r="A7" s="51" t="s">
        <v>38</v>
      </c>
      <c r="B7" s="52" t="s">
        <v>39</v>
      </c>
      <c r="C7" s="52" t="s">
        <v>40</v>
      </c>
      <c r="D7" s="52" t="s">
        <v>41</v>
      </c>
      <c r="E7" s="52" t="s">
        <v>12</v>
      </c>
      <c r="F7" s="53" t="s">
        <v>14</v>
      </c>
      <c r="G7" s="52" t="s">
        <v>16</v>
      </c>
      <c r="H7" s="52" t="s">
        <v>18</v>
      </c>
      <c r="I7" s="52" t="s">
        <v>42</v>
      </c>
      <c r="J7" s="54" t="s">
        <v>20</v>
      </c>
    </row>
    <row r="8" ht="22.5" customHeight="1">
      <c r="A8" s="55" t="s">
        <v>43</v>
      </c>
      <c r="B8" s="56" t="s">
        <v>44</v>
      </c>
      <c r="C8" s="57">
        <v>11.95</v>
      </c>
      <c r="D8" s="58" t="s">
        <v>45</v>
      </c>
      <c r="E8" s="59">
        <f t="shared" ref="E8:E27" si="1">IF(OR(D8="Appetizer", D8="Treated",D8="N/A"), 0, SUMIF(A$8:A1000, A8, C$8:C1000) + (SUMIF(D$8:D1000, "Appetizer", C$8:C1000) + SUMIF(D$8:D1000, "Treated", C$8:C1000)) / COUNTIF(D$8:D1000, "Solo"))
</f>
        <v>11.95</v>
      </c>
      <c r="F8" s="60">
        <f>IFERROR(ROUND(E8 / Bill_Summary[$ Subtotal], 4), 0)
</f>
        <v>0.3371</v>
      </c>
      <c r="G8" s="59">
        <f>IFERROR(F8*(Bill_Summary[$ Tax]+Bill_Summary[$ Tip ]), 0)
</f>
        <v>3.064239</v>
      </c>
      <c r="H8" s="59">
        <f t="shared" ref="H8:H27" si="2">E8+G8</f>
        <v>15.014239</v>
      </c>
      <c r="I8" s="61" t="b">
        <v>1</v>
      </c>
      <c r="J8" s="59" t="str">
        <f t="shared" ref="J8:J27" si="3">IF(E8=0,"",A8 &amp; " ($" &amp; TEXT(H8, "#,##0.00") &amp; ") " &amp; IF(I8=TRUE, "✅", "❌"))</f>
        <v>Matt ($15.01) ✅</v>
      </c>
      <c r="K8" s="29"/>
      <c r="L8" s="29"/>
      <c r="M8" s="29"/>
      <c r="N8" s="29"/>
      <c r="O8" s="29"/>
      <c r="P8" s="29"/>
      <c r="Q8" s="29"/>
      <c r="R8" s="29"/>
      <c r="S8" s="29"/>
      <c r="T8" s="29"/>
      <c r="U8" s="29"/>
      <c r="V8" s="29"/>
      <c r="W8" s="29"/>
      <c r="X8" s="29"/>
      <c r="Y8" s="29"/>
      <c r="Z8" s="29"/>
      <c r="AA8" s="29"/>
    </row>
    <row r="9" ht="22.5" customHeight="1">
      <c r="A9" s="55" t="s">
        <v>46</v>
      </c>
      <c r="B9" s="56" t="s">
        <v>47</v>
      </c>
      <c r="C9" s="57">
        <v>11.75</v>
      </c>
      <c r="D9" s="58" t="s">
        <v>45</v>
      </c>
      <c r="E9" s="59">
        <f t="shared" si="1"/>
        <v>11.75</v>
      </c>
      <c r="F9" s="60">
        <f>IFERROR(ROUND(E9 / Bill_Summary[$ Subtotal], 4), 0)
</f>
        <v>0.3315</v>
      </c>
      <c r="G9" s="59">
        <f>IFERROR(F9*(Bill_Summary[$ Tax]+Bill_Summary[$ Tip ]), 0)
</f>
        <v>3.013335</v>
      </c>
      <c r="H9" s="59">
        <f t="shared" si="2"/>
        <v>14.763335</v>
      </c>
      <c r="I9" s="61" t="b">
        <v>1</v>
      </c>
      <c r="J9" s="59" t="str">
        <f t="shared" si="3"/>
        <v>Sunny ($14.76) ✅</v>
      </c>
      <c r="K9" s="29"/>
      <c r="L9" s="29"/>
      <c r="M9" s="29"/>
      <c r="N9" s="29"/>
      <c r="O9" s="29"/>
      <c r="P9" s="29"/>
      <c r="Q9" s="29"/>
      <c r="R9" s="29"/>
      <c r="S9" s="29"/>
      <c r="T9" s="29"/>
      <c r="U9" s="29"/>
      <c r="V9" s="29"/>
      <c r="W9" s="29"/>
      <c r="X9" s="29"/>
      <c r="Y9" s="29"/>
      <c r="Z9" s="29"/>
      <c r="AA9" s="29"/>
    </row>
    <row r="10" ht="22.5" customHeight="1">
      <c r="A10" s="62" t="s">
        <v>48</v>
      </c>
      <c r="B10" s="56" t="s">
        <v>49</v>
      </c>
      <c r="C10" s="57">
        <v>11.75</v>
      </c>
      <c r="D10" s="58" t="s">
        <v>45</v>
      </c>
      <c r="E10" s="59">
        <f t="shared" si="1"/>
        <v>11.75</v>
      </c>
      <c r="F10" s="60">
        <f>IFERROR(ROUND(E10 / Bill_Summary[$ Subtotal], 4), 0)
</f>
        <v>0.3315</v>
      </c>
      <c r="G10" s="59">
        <f>IFERROR(F10*(Bill_Summary[$ Tax]+Bill_Summary[$ Tip ]), 0)
</f>
        <v>3.013335</v>
      </c>
      <c r="H10" s="59">
        <f t="shared" si="2"/>
        <v>14.763335</v>
      </c>
      <c r="I10" s="63" t="b">
        <v>1</v>
      </c>
      <c r="J10" s="59" t="str">
        <f t="shared" si="3"/>
        <v>Jilli ($14.76) ✅</v>
      </c>
      <c r="K10" s="29"/>
      <c r="L10" s="29"/>
      <c r="M10" s="29"/>
      <c r="N10" s="29"/>
      <c r="O10" s="29"/>
      <c r="P10" s="29"/>
      <c r="Q10" s="29"/>
      <c r="R10" s="29"/>
      <c r="S10" s="29"/>
      <c r="T10" s="29"/>
      <c r="U10" s="29"/>
      <c r="V10" s="29"/>
      <c r="W10" s="29"/>
      <c r="X10" s="29"/>
      <c r="Y10" s="29"/>
      <c r="Z10" s="29"/>
      <c r="AA10" s="29"/>
    </row>
    <row r="11" ht="22.5" customHeight="1">
      <c r="A11" s="62"/>
      <c r="B11" s="56"/>
      <c r="C11" s="57"/>
      <c r="D11" s="64" t="s">
        <v>50</v>
      </c>
      <c r="E11" s="59">
        <f t="shared" si="1"/>
        <v>0</v>
      </c>
      <c r="F11" s="60">
        <f>IFERROR(ROUND(E11 / Bill_Summary[$ Subtotal], 4), 0)
</f>
        <v>0</v>
      </c>
      <c r="G11" s="59">
        <f>IFERROR(F11*(Bill_Summary[$ Tax]+Bill_Summary[$ Tip ]), 0)
</f>
        <v>0</v>
      </c>
      <c r="H11" s="59">
        <f t="shared" si="2"/>
        <v>0</v>
      </c>
      <c r="I11" s="63" t="b">
        <v>0</v>
      </c>
      <c r="J11" s="59" t="str">
        <f t="shared" si="3"/>
        <v/>
      </c>
      <c r="K11" s="29"/>
      <c r="L11" s="29"/>
      <c r="M11" s="29"/>
      <c r="N11" s="29"/>
      <c r="O11" s="29"/>
      <c r="P11" s="29"/>
      <c r="Q11" s="29"/>
      <c r="R11" s="29"/>
      <c r="S11" s="29"/>
      <c r="T11" s="29"/>
      <c r="U11" s="29"/>
      <c r="V11" s="29"/>
      <c r="W11" s="29"/>
      <c r="X11" s="29"/>
      <c r="Y11" s="29"/>
      <c r="Z11" s="29"/>
      <c r="AA11" s="29"/>
    </row>
    <row r="12" ht="22.5" customHeight="1">
      <c r="A12" s="62"/>
      <c r="B12" s="56"/>
      <c r="C12" s="57"/>
      <c r="D12" s="64" t="s">
        <v>50</v>
      </c>
      <c r="E12" s="59">
        <f t="shared" si="1"/>
        <v>0</v>
      </c>
      <c r="F12" s="60">
        <f>IFERROR(ROUND(E12 / Bill_Summary[$ Subtotal], 4), 0)
</f>
        <v>0</v>
      </c>
      <c r="G12" s="59">
        <f>IFERROR(F12*(Bill_Summary[$ Tax]+Bill_Summary[$ Tip ]), 0)
</f>
        <v>0</v>
      </c>
      <c r="H12" s="59">
        <f t="shared" si="2"/>
        <v>0</v>
      </c>
      <c r="I12" s="63" t="b">
        <v>0</v>
      </c>
      <c r="J12" s="59" t="str">
        <f t="shared" si="3"/>
        <v/>
      </c>
      <c r="K12" s="29"/>
      <c r="L12" s="29"/>
      <c r="M12" s="29"/>
      <c r="N12" s="29"/>
      <c r="O12" s="29"/>
      <c r="P12" s="29"/>
      <c r="Q12" s="29"/>
      <c r="R12" s="29"/>
      <c r="S12" s="29"/>
      <c r="T12" s="29"/>
      <c r="U12" s="29"/>
      <c r="V12" s="29"/>
      <c r="W12" s="29"/>
      <c r="X12" s="29"/>
      <c r="Y12" s="29"/>
      <c r="Z12" s="29"/>
      <c r="AA12" s="29"/>
    </row>
    <row r="13" ht="22.5" customHeight="1">
      <c r="A13" s="62"/>
      <c r="B13" s="56"/>
      <c r="C13" s="57"/>
      <c r="D13" s="64" t="s">
        <v>50</v>
      </c>
      <c r="E13" s="59">
        <f t="shared" si="1"/>
        <v>0</v>
      </c>
      <c r="F13" s="60">
        <f>IFERROR(ROUND(E13 / Bill_Summary[$ Subtotal], 4), 0)
</f>
        <v>0</v>
      </c>
      <c r="G13" s="59">
        <f>IFERROR(F13*(Bill_Summary[$ Tax]+Bill_Summary[$ Tip ]), 0)
</f>
        <v>0</v>
      </c>
      <c r="H13" s="59">
        <f t="shared" si="2"/>
        <v>0</v>
      </c>
      <c r="I13" s="63" t="b">
        <v>0</v>
      </c>
      <c r="J13" s="59" t="str">
        <f t="shared" si="3"/>
        <v/>
      </c>
      <c r="K13" s="29"/>
      <c r="L13" s="29"/>
      <c r="M13" s="29"/>
      <c r="N13" s="29"/>
      <c r="O13" s="29"/>
      <c r="P13" s="29"/>
      <c r="Q13" s="29"/>
      <c r="R13" s="29"/>
      <c r="S13" s="29"/>
      <c r="T13" s="29"/>
      <c r="U13" s="29"/>
      <c r="V13" s="29"/>
      <c r="W13" s="29"/>
      <c r="X13" s="29"/>
      <c r="Y13" s="29"/>
      <c r="Z13" s="29"/>
      <c r="AA13" s="29"/>
    </row>
    <row r="14" ht="22.5" customHeight="1">
      <c r="A14" s="62"/>
      <c r="B14" s="56"/>
      <c r="C14" s="57"/>
      <c r="D14" s="64" t="s">
        <v>50</v>
      </c>
      <c r="E14" s="59">
        <f t="shared" si="1"/>
        <v>0</v>
      </c>
      <c r="F14" s="60">
        <f>IFERROR(ROUND(E14 / Bill_Summary[$ Subtotal], 4), 0)
</f>
        <v>0</v>
      </c>
      <c r="G14" s="59">
        <f>IFERROR(F14*(Bill_Summary[$ Tax]+Bill_Summary[$ Tip ]), 0)
</f>
        <v>0</v>
      </c>
      <c r="H14" s="59">
        <f t="shared" si="2"/>
        <v>0</v>
      </c>
      <c r="I14" s="63" t="b">
        <v>0</v>
      </c>
      <c r="J14" s="59" t="str">
        <f t="shared" si="3"/>
        <v/>
      </c>
      <c r="K14" s="29"/>
      <c r="L14" s="29"/>
      <c r="M14" s="29"/>
      <c r="N14" s="29"/>
      <c r="O14" s="29"/>
      <c r="P14" s="29"/>
      <c r="Q14" s="29"/>
      <c r="R14" s="29"/>
      <c r="S14" s="29"/>
      <c r="T14" s="29"/>
      <c r="U14" s="29"/>
      <c r="V14" s="29"/>
      <c r="W14" s="29"/>
      <c r="X14" s="29"/>
      <c r="Y14" s="29"/>
      <c r="Z14" s="29"/>
      <c r="AA14" s="29"/>
    </row>
    <row r="15" ht="22.5" customHeight="1">
      <c r="A15" s="62"/>
      <c r="B15" s="56"/>
      <c r="C15" s="57"/>
      <c r="D15" s="64" t="s">
        <v>50</v>
      </c>
      <c r="E15" s="59">
        <f t="shared" si="1"/>
        <v>0</v>
      </c>
      <c r="F15" s="60">
        <f>IFERROR(ROUND(E15 / Bill_Summary[$ Subtotal], 4), 0)
</f>
        <v>0</v>
      </c>
      <c r="G15" s="59">
        <f>IFERROR(F15*(Bill_Summary[$ Tax]+Bill_Summary[$ Tip ]), 0)
</f>
        <v>0</v>
      </c>
      <c r="H15" s="59">
        <f t="shared" si="2"/>
        <v>0</v>
      </c>
      <c r="I15" s="63" t="b">
        <v>0</v>
      </c>
      <c r="J15" s="59" t="str">
        <f t="shared" si="3"/>
        <v/>
      </c>
      <c r="K15" s="29"/>
      <c r="L15" s="29"/>
      <c r="M15" s="29"/>
      <c r="N15" s="29"/>
      <c r="O15" s="29"/>
      <c r="P15" s="29"/>
      <c r="Q15" s="29"/>
      <c r="R15" s="29"/>
      <c r="S15" s="29"/>
      <c r="T15" s="29"/>
      <c r="U15" s="29"/>
      <c r="V15" s="29"/>
      <c r="W15" s="29"/>
      <c r="X15" s="29"/>
      <c r="Y15" s="29"/>
      <c r="Z15" s="29"/>
      <c r="AA15" s="29"/>
    </row>
    <row r="16" ht="22.5" customHeight="1">
      <c r="A16" s="62"/>
      <c r="B16" s="56"/>
      <c r="C16" s="57"/>
      <c r="D16" s="64" t="s">
        <v>50</v>
      </c>
      <c r="E16" s="59">
        <f t="shared" si="1"/>
        <v>0</v>
      </c>
      <c r="F16" s="60">
        <f>IFERROR(ROUND(E16 / Bill_Summary[$ Subtotal], 4), 0)
</f>
        <v>0</v>
      </c>
      <c r="G16" s="59">
        <f>IFERROR(F16*(Bill_Summary[$ Tax]+Bill_Summary[$ Tip ]), 0)
</f>
        <v>0</v>
      </c>
      <c r="H16" s="59">
        <f t="shared" si="2"/>
        <v>0</v>
      </c>
      <c r="I16" s="63" t="b">
        <v>0</v>
      </c>
      <c r="J16" s="59" t="str">
        <f t="shared" si="3"/>
        <v/>
      </c>
      <c r="K16" s="29"/>
      <c r="L16" s="29"/>
      <c r="M16" s="29"/>
      <c r="N16" s="29"/>
      <c r="O16" s="29"/>
      <c r="P16" s="29"/>
      <c r="Q16" s="29"/>
      <c r="R16" s="29"/>
      <c r="S16" s="29"/>
      <c r="T16" s="29"/>
      <c r="U16" s="29"/>
      <c r="V16" s="29"/>
      <c r="W16" s="29"/>
      <c r="X16" s="29"/>
      <c r="Y16" s="29"/>
      <c r="Z16" s="29"/>
      <c r="AA16" s="29"/>
    </row>
    <row r="17" ht="22.5" customHeight="1">
      <c r="A17" s="65"/>
      <c r="B17" s="66"/>
      <c r="C17" s="67"/>
      <c r="D17" s="68" t="s">
        <v>50</v>
      </c>
      <c r="E17" s="59">
        <f t="shared" si="1"/>
        <v>0</v>
      </c>
      <c r="F17" s="60">
        <f>IFERROR(ROUND(E17 / Bill_Summary[$ Subtotal], 4), 0)
</f>
        <v>0</v>
      </c>
      <c r="G17" s="59">
        <f>IFERROR(F17*(Bill_Summary[$ Tax]+Bill_Summary[$ Tip ]), 0)
</f>
        <v>0</v>
      </c>
      <c r="H17" s="59">
        <f t="shared" si="2"/>
        <v>0</v>
      </c>
      <c r="I17" s="61" t="b">
        <v>0</v>
      </c>
      <c r="J17" s="59" t="str">
        <f t="shared" si="3"/>
        <v/>
      </c>
      <c r="K17" s="29"/>
      <c r="L17" s="29"/>
      <c r="M17" s="29"/>
      <c r="N17" s="29"/>
      <c r="O17" s="29"/>
      <c r="P17" s="29"/>
      <c r="Q17" s="29"/>
      <c r="R17" s="29"/>
      <c r="S17" s="29"/>
      <c r="T17" s="29"/>
      <c r="U17" s="29"/>
      <c r="V17" s="29"/>
      <c r="W17" s="29"/>
      <c r="X17" s="29"/>
      <c r="Y17" s="29"/>
      <c r="Z17" s="29"/>
      <c r="AA17" s="29"/>
    </row>
    <row r="18" ht="22.5" customHeight="1">
      <c r="A18" s="62"/>
      <c r="B18" s="56"/>
      <c r="C18" s="57"/>
      <c r="D18" s="64" t="s">
        <v>50</v>
      </c>
      <c r="E18" s="59">
        <f t="shared" si="1"/>
        <v>0</v>
      </c>
      <c r="F18" s="60">
        <f>IFERROR(ROUND(E18 / Bill_Summary[$ Subtotal], 4), 0)
</f>
        <v>0</v>
      </c>
      <c r="G18" s="59">
        <f>IFERROR(F18*(Bill_Summary[$ Tax]+Bill_Summary[$ Tip ]), 0)
</f>
        <v>0</v>
      </c>
      <c r="H18" s="59">
        <f t="shared" si="2"/>
        <v>0</v>
      </c>
      <c r="I18" s="63" t="b">
        <v>0</v>
      </c>
      <c r="J18" s="59" t="str">
        <f t="shared" si="3"/>
        <v/>
      </c>
      <c r="K18" s="29"/>
      <c r="L18" s="29"/>
      <c r="M18" s="29"/>
      <c r="N18" s="29"/>
      <c r="O18" s="29"/>
      <c r="P18" s="29"/>
      <c r="Q18" s="29"/>
      <c r="R18" s="29"/>
      <c r="S18" s="29"/>
      <c r="T18" s="29"/>
      <c r="U18" s="29"/>
      <c r="V18" s="29"/>
      <c r="W18" s="29"/>
      <c r="X18" s="29"/>
      <c r="Y18" s="29"/>
      <c r="Z18" s="29"/>
      <c r="AA18" s="29"/>
    </row>
    <row r="19" ht="22.5" customHeight="1">
      <c r="A19" s="62"/>
      <c r="B19" s="56"/>
      <c r="C19" s="57"/>
      <c r="D19" s="64" t="s">
        <v>50</v>
      </c>
      <c r="E19" s="59">
        <f t="shared" si="1"/>
        <v>0</v>
      </c>
      <c r="F19" s="60">
        <f>IFERROR(ROUND(E19 / Bill_Summary[$ Subtotal], 4), 0)
</f>
        <v>0</v>
      </c>
      <c r="G19" s="59">
        <f>IFERROR(F19*(Bill_Summary[$ Tax]+Bill_Summary[$ Tip ]), 0)
</f>
        <v>0</v>
      </c>
      <c r="H19" s="59">
        <f t="shared" si="2"/>
        <v>0</v>
      </c>
      <c r="I19" s="63" t="b">
        <v>0</v>
      </c>
      <c r="J19" s="59" t="str">
        <f t="shared" si="3"/>
        <v/>
      </c>
      <c r="K19" s="29"/>
      <c r="L19" s="29"/>
      <c r="M19" s="29"/>
      <c r="N19" s="29"/>
      <c r="O19" s="29"/>
      <c r="P19" s="29"/>
      <c r="Q19" s="29"/>
      <c r="R19" s="29"/>
      <c r="S19" s="29"/>
      <c r="T19" s="29"/>
      <c r="U19" s="29"/>
      <c r="V19" s="29"/>
      <c r="W19" s="29"/>
      <c r="X19" s="29"/>
      <c r="Y19" s="29"/>
      <c r="Z19" s="29"/>
      <c r="AA19" s="29"/>
    </row>
    <row r="20" ht="22.5" customHeight="1">
      <c r="A20" s="62"/>
      <c r="B20" s="56"/>
      <c r="C20" s="57"/>
      <c r="D20" s="64" t="s">
        <v>50</v>
      </c>
      <c r="E20" s="59">
        <f t="shared" si="1"/>
        <v>0</v>
      </c>
      <c r="F20" s="60">
        <f>IFERROR(ROUND(E20 / Bill_Summary[$ Subtotal], 4), 0)
</f>
        <v>0</v>
      </c>
      <c r="G20" s="59">
        <f>IFERROR(F20*(Bill_Summary[$ Tax]+Bill_Summary[$ Tip ]), 0)
</f>
        <v>0</v>
      </c>
      <c r="H20" s="59">
        <f t="shared" si="2"/>
        <v>0</v>
      </c>
      <c r="I20" s="63" t="b">
        <v>0</v>
      </c>
      <c r="J20" s="59" t="str">
        <f t="shared" si="3"/>
        <v/>
      </c>
      <c r="K20" s="29"/>
      <c r="L20" s="29"/>
      <c r="M20" s="29"/>
      <c r="N20" s="29"/>
      <c r="O20" s="29"/>
      <c r="P20" s="29"/>
      <c r="Q20" s="29"/>
      <c r="R20" s="29"/>
      <c r="S20" s="29"/>
      <c r="T20" s="29"/>
      <c r="U20" s="29"/>
      <c r="V20" s="29"/>
      <c r="W20" s="29"/>
      <c r="X20" s="29"/>
      <c r="Y20" s="29"/>
      <c r="Z20" s="29"/>
      <c r="AA20" s="29"/>
    </row>
    <row r="21" ht="22.5" customHeight="1">
      <c r="A21" s="62"/>
      <c r="B21" s="56"/>
      <c r="C21" s="57"/>
      <c r="D21" s="64" t="s">
        <v>50</v>
      </c>
      <c r="E21" s="59">
        <f t="shared" si="1"/>
        <v>0</v>
      </c>
      <c r="F21" s="60">
        <f>IFERROR(ROUND(E21 / Bill_Summary[$ Subtotal], 4), 0)
</f>
        <v>0</v>
      </c>
      <c r="G21" s="59">
        <f>IFERROR(F21*(Bill_Summary[$ Tax]+Bill_Summary[$ Tip ]), 0)
</f>
        <v>0</v>
      </c>
      <c r="H21" s="59">
        <f t="shared" si="2"/>
        <v>0</v>
      </c>
      <c r="I21" s="63" t="b">
        <v>0</v>
      </c>
      <c r="J21" s="59" t="str">
        <f t="shared" si="3"/>
        <v/>
      </c>
      <c r="K21" s="29"/>
      <c r="L21" s="29"/>
      <c r="M21" s="29"/>
      <c r="N21" s="29"/>
      <c r="O21" s="29"/>
      <c r="P21" s="29"/>
      <c r="Q21" s="29"/>
      <c r="R21" s="29"/>
      <c r="S21" s="29"/>
      <c r="T21" s="29"/>
      <c r="U21" s="29"/>
      <c r="V21" s="29"/>
      <c r="W21" s="29"/>
      <c r="X21" s="29"/>
      <c r="Y21" s="29"/>
      <c r="Z21" s="29"/>
      <c r="AA21" s="29"/>
    </row>
    <row r="22" ht="22.5" customHeight="1">
      <c r="A22" s="62"/>
      <c r="B22" s="56"/>
      <c r="C22" s="57"/>
      <c r="D22" s="64" t="s">
        <v>50</v>
      </c>
      <c r="E22" s="59">
        <f t="shared" si="1"/>
        <v>0</v>
      </c>
      <c r="F22" s="60">
        <f>IFERROR(ROUND(E22 / Bill_Summary[$ Subtotal], 4), 0)
</f>
        <v>0</v>
      </c>
      <c r="G22" s="59">
        <f>IFERROR(F22*(Bill_Summary[$ Tax]+Bill_Summary[$ Tip ]), 0)
</f>
        <v>0</v>
      </c>
      <c r="H22" s="59">
        <f t="shared" si="2"/>
        <v>0</v>
      </c>
      <c r="I22" s="63" t="b">
        <v>0</v>
      </c>
      <c r="J22" s="59" t="str">
        <f t="shared" si="3"/>
        <v/>
      </c>
      <c r="K22" s="29"/>
      <c r="L22" s="29"/>
      <c r="M22" s="29"/>
      <c r="N22" s="29"/>
      <c r="O22" s="29"/>
      <c r="P22" s="29"/>
      <c r="Q22" s="29"/>
      <c r="R22" s="29"/>
      <c r="S22" s="29"/>
      <c r="T22" s="29"/>
      <c r="U22" s="29"/>
      <c r="V22" s="29"/>
      <c r="W22" s="29"/>
      <c r="X22" s="29"/>
      <c r="Y22" s="29"/>
      <c r="Z22" s="29"/>
      <c r="AA22" s="29"/>
    </row>
    <row r="23" ht="22.5" customHeight="1">
      <c r="A23" s="62"/>
      <c r="B23" s="56"/>
      <c r="C23" s="57"/>
      <c r="D23" s="64" t="s">
        <v>50</v>
      </c>
      <c r="E23" s="59">
        <f t="shared" si="1"/>
        <v>0</v>
      </c>
      <c r="F23" s="60">
        <f>IFERROR(ROUND(E23 / Bill_Summary[$ Subtotal], 4), 0)
</f>
        <v>0</v>
      </c>
      <c r="G23" s="59">
        <f>IFERROR(F23*(Bill_Summary[$ Tax]+Bill_Summary[$ Tip ]), 0)
</f>
        <v>0</v>
      </c>
      <c r="H23" s="59">
        <f t="shared" si="2"/>
        <v>0</v>
      </c>
      <c r="I23" s="63" t="b">
        <v>0</v>
      </c>
      <c r="J23" s="59" t="str">
        <f t="shared" si="3"/>
        <v/>
      </c>
      <c r="K23" s="29"/>
      <c r="L23" s="29"/>
      <c r="M23" s="29"/>
      <c r="N23" s="29"/>
      <c r="O23" s="29"/>
      <c r="P23" s="29"/>
      <c r="Q23" s="29"/>
      <c r="R23" s="29"/>
      <c r="S23" s="29"/>
      <c r="T23" s="29"/>
      <c r="U23" s="29"/>
      <c r="V23" s="29"/>
      <c r="W23" s="29"/>
      <c r="X23" s="29"/>
      <c r="Y23" s="29"/>
      <c r="Z23" s="29"/>
      <c r="AA23" s="29"/>
    </row>
    <row r="24" ht="22.5" customHeight="1">
      <c r="A24" s="62"/>
      <c r="B24" s="56"/>
      <c r="C24" s="57"/>
      <c r="D24" s="64" t="s">
        <v>50</v>
      </c>
      <c r="E24" s="59">
        <f t="shared" si="1"/>
        <v>0</v>
      </c>
      <c r="F24" s="60">
        <f>IFERROR(ROUND(E24 / Bill_Summary[$ Subtotal], 4), 0)
</f>
        <v>0</v>
      </c>
      <c r="G24" s="59">
        <f>IFERROR(F24*(Bill_Summary[$ Tax]+Bill_Summary[$ Tip ]), 0)
</f>
        <v>0</v>
      </c>
      <c r="H24" s="59">
        <f t="shared" si="2"/>
        <v>0</v>
      </c>
      <c r="I24" s="63" t="b">
        <v>0</v>
      </c>
      <c r="J24" s="59" t="str">
        <f t="shared" si="3"/>
        <v/>
      </c>
      <c r="K24" s="29"/>
      <c r="L24" s="29"/>
      <c r="M24" s="29"/>
      <c r="N24" s="29"/>
      <c r="O24" s="29"/>
      <c r="P24" s="29"/>
      <c r="Q24" s="29"/>
      <c r="R24" s="29"/>
      <c r="S24" s="29"/>
      <c r="T24" s="29"/>
      <c r="U24" s="29"/>
      <c r="V24" s="29"/>
      <c r="W24" s="29"/>
      <c r="X24" s="29"/>
      <c r="Y24" s="29"/>
      <c r="Z24" s="29"/>
      <c r="AA24" s="29"/>
    </row>
    <row r="25" ht="22.5" customHeight="1">
      <c r="A25" s="62"/>
      <c r="B25" s="56"/>
      <c r="C25" s="57"/>
      <c r="D25" s="64" t="s">
        <v>50</v>
      </c>
      <c r="E25" s="59">
        <f t="shared" si="1"/>
        <v>0</v>
      </c>
      <c r="F25" s="60">
        <f>IFERROR(ROUND(E25 / Bill_Summary[$ Subtotal], 4), 0)
</f>
        <v>0</v>
      </c>
      <c r="G25" s="59">
        <f>IFERROR(F25*(Bill_Summary[$ Tax]+Bill_Summary[$ Tip ]), 0)
</f>
        <v>0</v>
      </c>
      <c r="H25" s="59">
        <f t="shared" si="2"/>
        <v>0</v>
      </c>
      <c r="I25" s="63" t="b">
        <v>0</v>
      </c>
      <c r="J25" s="59" t="str">
        <f t="shared" si="3"/>
        <v/>
      </c>
      <c r="K25" s="29"/>
      <c r="L25" s="29"/>
      <c r="M25" s="29"/>
      <c r="N25" s="29"/>
      <c r="O25" s="29"/>
      <c r="P25" s="29"/>
      <c r="Q25" s="29"/>
      <c r="R25" s="29"/>
      <c r="S25" s="29"/>
      <c r="T25" s="29"/>
      <c r="U25" s="29"/>
      <c r="V25" s="29"/>
      <c r="W25" s="29"/>
      <c r="X25" s="29"/>
      <c r="Y25" s="29"/>
      <c r="Z25" s="29"/>
      <c r="AA25" s="29"/>
    </row>
    <row r="26" ht="22.5" customHeight="1">
      <c r="A26" s="62"/>
      <c r="B26" s="56"/>
      <c r="C26" s="57"/>
      <c r="D26" s="64" t="s">
        <v>50</v>
      </c>
      <c r="E26" s="59">
        <f t="shared" si="1"/>
        <v>0</v>
      </c>
      <c r="F26" s="60">
        <f>IFERROR(ROUND(E26 / Bill_Summary[$ Subtotal], 4), 0)
</f>
        <v>0</v>
      </c>
      <c r="G26" s="59">
        <f>IFERROR(F26*(Bill_Summary[$ Tax]+Bill_Summary[$ Tip ]), 0)
</f>
        <v>0</v>
      </c>
      <c r="H26" s="59">
        <f t="shared" si="2"/>
        <v>0</v>
      </c>
      <c r="I26" s="63" t="b">
        <v>0</v>
      </c>
      <c r="J26" s="59" t="str">
        <f t="shared" si="3"/>
        <v/>
      </c>
      <c r="K26" s="29"/>
      <c r="L26" s="29"/>
      <c r="M26" s="29"/>
      <c r="N26" s="29"/>
      <c r="O26" s="29"/>
      <c r="P26" s="29"/>
      <c r="Q26" s="29"/>
      <c r="R26" s="29"/>
      <c r="S26" s="29"/>
      <c r="T26" s="29"/>
      <c r="U26" s="29"/>
      <c r="V26" s="29"/>
      <c r="W26" s="29"/>
      <c r="X26" s="29"/>
      <c r="Y26" s="29"/>
      <c r="Z26" s="29"/>
      <c r="AA26" s="29"/>
    </row>
    <row r="27" ht="22.5" customHeight="1">
      <c r="A27" s="69"/>
      <c r="B27" s="70"/>
      <c r="C27" s="71"/>
      <c r="D27" s="72" t="s">
        <v>50</v>
      </c>
      <c r="E27" s="59">
        <f t="shared" si="1"/>
        <v>0</v>
      </c>
      <c r="F27" s="60">
        <f>IFERROR(ROUND(E27 / Bill_Summary[$ Subtotal], 4), 0)
</f>
        <v>0</v>
      </c>
      <c r="G27" s="59">
        <f>IFERROR(F27*(Bill_Summary[$ Tax]+Bill_Summary[$ Tip ]), 0)
</f>
        <v>0</v>
      </c>
      <c r="H27" s="59">
        <f t="shared" si="2"/>
        <v>0</v>
      </c>
      <c r="I27" s="73" t="b">
        <v>0</v>
      </c>
      <c r="J27" s="59" t="str">
        <f t="shared" si="3"/>
        <v/>
      </c>
      <c r="K27" s="29"/>
      <c r="L27" s="29"/>
      <c r="M27" s="29"/>
      <c r="N27" s="29"/>
      <c r="O27" s="29"/>
      <c r="P27" s="29"/>
      <c r="Q27" s="29"/>
      <c r="R27" s="29"/>
      <c r="S27" s="29"/>
      <c r="T27" s="29"/>
      <c r="U27" s="29"/>
      <c r="V27" s="29"/>
      <c r="W27" s="29"/>
      <c r="X27" s="29"/>
      <c r="Y27" s="29"/>
      <c r="Z27" s="29"/>
      <c r="AA27" s="29"/>
    </row>
  </sheetData>
  <mergeCells count="6">
    <mergeCell ref="F2:J2"/>
    <mergeCell ref="F3:J3"/>
    <mergeCell ref="F4:J4"/>
    <mergeCell ref="F5:J5"/>
    <mergeCell ref="A1:J1"/>
    <mergeCell ref="A2:A5"/>
  </mergeCells>
  <conditionalFormatting sqref="J8:J22">
    <cfRule type="expression" dxfId="7" priority="1">
      <formula>AND(I8=FALSE,E8&lt;&gt;0)</formula>
    </cfRule>
  </conditionalFormatting>
  <dataValidations>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 customWidth="1" min="3" max="3" width="15.88"/>
    <col customWidth="1" min="4" max="4" width="13.88"/>
    <col customWidth="1" min="6" max="6" width="15.0"/>
    <col customWidth="1" min="9" max="9" width="9.88"/>
    <col customWidth="1" min="10" max="10" width="17.0"/>
  </cols>
  <sheetData>
    <row r="1">
      <c r="A1" s="32" t="s">
        <v>28</v>
      </c>
      <c r="K1" s="74"/>
      <c r="L1" s="74"/>
      <c r="M1" s="74"/>
      <c r="N1" s="74"/>
      <c r="O1" s="74"/>
      <c r="P1" s="74"/>
      <c r="Q1" s="74"/>
      <c r="R1" s="74"/>
      <c r="S1" s="74"/>
      <c r="T1" s="74"/>
      <c r="U1" s="74"/>
      <c r="V1" s="74"/>
      <c r="W1" s="74"/>
      <c r="X1" s="74"/>
      <c r="Y1" s="74"/>
      <c r="Z1" s="74"/>
      <c r="AA1" s="74"/>
    </row>
    <row r="2">
      <c r="A2" s="33" t="s">
        <v>29</v>
      </c>
      <c r="B2" s="74"/>
      <c r="C2" s="74"/>
      <c r="D2" s="74"/>
      <c r="E2" s="74"/>
      <c r="F2" s="34" t="s">
        <v>30</v>
      </c>
      <c r="G2" s="35"/>
      <c r="H2" s="35"/>
      <c r="I2" s="35"/>
      <c r="J2" s="36"/>
      <c r="K2" s="74"/>
      <c r="L2" s="74"/>
      <c r="M2" s="74"/>
      <c r="N2" s="74"/>
      <c r="O2" s="74"/>
      <c r="P2" s="74"/>
      <c r="Q2" s="74"/>
      <c r="R2" s="74"/>
      <c r="S2" s="74"/>
      <c r="T2" s="74"/>
      <c r="U2" s="74"/>
      <c r="V2" s="74"/>
      <c r="W2" s="74"/>
      <c r="X2" s="74"/>
      <c r="Y2" s="74"/>
      <c r="Z2" s="74"/>
      <c r="AA2" s="74"/>
    </row>
    <row r="3" ht="26.25" customHeight="1">
      <c r="A3" s="37"/>
      <c r="B3" s="38" t="s">
        <v>31</v>
      </c>
      <c r="C3" s="39" t="s">
        <v>32</v>
      </c>
      <c r="D3" s="39" t="s">
        <v>33</v>
      </c>
      <c r="E3" s="39" t="s">
        <v>34</v>
      </c>
      <c r="F3" s="40" t="s">
        <v>35</v>
      </c>
      <c r="J3" s="41"/>
      <c r="K3" s="74"/>
      <c r="L3" s="74"/>
      <c r="M3" s="74"/>
      <c r="N3" s="74"/>
      <c r="O3" s="74"/>
      <c r="P3" s="74"/>
      <c r="Q3" s="74"/>
      <c r="R3" s="74"/>
      <c r="S3" s="74"/>
      <c r="T3" s="74"/>
      <c r="U3" s="74"/>
      <c r="V3" s="74"/>
      <c r="W3" s="74"/>
      <c r="X3" s="74"/>
      <c r="Y3" s="74"/>
      <c r="Z3" s="74"/>
      <c r="AA3" s="74"/>
    </row>
    <row r="4" ht="26.25" customHeight="1">
      <c r="A4" s="37"/>
      <c r="B4" s="75">
        <v>8.66</v>
      </c>
      <c r="C4" s="76">
        <v>16.34</v>
      </c>
      <c r="D4" s="44">
        <f>SUM(Order_Details_2[$ Price])</f>
        <v>105</v>
      </c>
      <c r="E4" s="44">
        <f>ROUND(SUM(H:H),4)</f>
        <v>130</v>
      </c>
      <c r="F4" s="40" t="s">
        <v>36</v>
      </c>
      <c r="J4" s="41"/>
      <c r="K4" s="74"/>
      <c r="L4" s="74"/>
      <c r="M4" s="74"/>
      <c r="N4" s="74"/>
      <c r="O4" s="74"/>
      <c r="P4" s="74"/>
      <c r="Q4" s="74"/>
      <c r="R4" s="74"/>
      <c r="S4" s="74"/>
      <c r="T4" s="74"/>
      <c r="U4" s="74"/>
      <c r="V4" s="74"/>
      <c r="W4" s="74"/>
      <c r="X4" s="74"/>
      <c r="Y4" s="74"/>
      <c r="Z4" s="74"/>
      <c r="AA4" s="74"/>
    </row>
    <row r="5" ht="26.25" customHeight="1">
      <c r="A5" s="37"/>
      <c r="B5" s="45" t="str">
        <f>IFERROR("("&amp;TEXT(SUM(Bill_Summary_2[$ Tax]/Bill_Summary_2[$ Subtotal]),"#,##0.00%")&amp;")",0)</f>
        <v>(8.25%)</v>
      </c>
      <c r="C5" s="46" t="str">
        <f>IFERROR("("&amp;TEXT(SUM($C$4/$D$4),"#,##0.00%")&amp;")",0)</f>
        <v>(15.56%)</v>
      </c>
      <c r="D5" s="77"/>
      <c r="E5" s="77"/>
      <c r="F5" s="48" t="s">
        <v>37</v>
      </c>
      <c r="G5" s="49"/>
      <c r="H5" s="49"/>
      <c r="I5" s="49"/>
      <c r="J5" s="50"/>
      <c r="K5" s="74"/>
      <c r="L5" s="74"/>
      <c r="M5" s="74"/>
      <c r="N5" s="74"/>
      <c r="O5" s="74"/>
      <c r="P5" s="74"/>
      <c r="Q5" s="74"/>
      <c r="R5" s="74"/>
      <c r="S5" s="74"/>
      <c r="T5" s="74"/>
      <c r="U5" s="74"/>
      <c r="V5" s="74"/>
      <c r="W5" s="74"/>
      <c r="X5" s="74"/>
      <c r="Y5" s="74"/>
      <c r="Z5" s="74"/>
      <c r="AA5" s="74"/>
    </row>
    <row r="6">
      <c r="A6" s="74"/>
      <c r="B6" s="74"/>
      <c r="C6" s="74"/>
      <c r="D6" s="74"/>
      <c r="E6" s="74"/>
      <c r="F6" s="74"/>
      <c r="G6" s="74"/>
      <c r="H6" s="74"/>
      <c r="I6" s="74"/>
      <c r="J6" s="74"/>
      <c r="K6" s="74"/>
      <c r="L6" s="74"/>
      <c r="M6" s="74"/>
      <c r="N6" s="74"/>
      <c r="O6" s="74"/>
      <c r="P6" s="74"/>
      <c r="Q6" s="74"/>
      <c r="R6" s="74"/>
      <c r="S6" s="74"/>
      <c r="T6" s="74"/>
      <c r="U6" s="74"/>
      <c r="V6" s="74"/>
      <c r="W6" s="74"/>
      <c r="X6" s="74"/>
      <c r="Y6" s="74"/>
      <c r="Z6" s="74"/>
      <c r="AA6" s="74"/>
    </row>
    <row r="7" ht="22.5" customHeight="1">
      <c r="A7" s="51" t="s">
        <v>38</v>
      </c>
      <c r="B7" s="52" t="s">
        <v>39</v>
      </c>
      <c r="C7" s="52" t="s">
        <v>40</v>
      </c>
      <c r="D7" s="52" t="s">
        <v>41</v>
      </c>
      <c r="E7" s="52" t="s">
        <v>12</v>
      </c>
      <c r="F7" s="53" t="s">
        <v>14</v>
      </c>
      <c r="G7" s="52" t="s">
        <v>16</v>
      </c>
      <c r="H7" s="52" t="s">
        <v>18</v>
      </c>
      <c r="I7" s="52" t="s">
        <v>42</v>
      </c>
      <c r="J7" s="54" t="s">
        <v>20</v>
      </c>
      <c r="K7" s="78"/>
      <c r="L7" s="78"/>
      <c r="M7" s="78"/>
      <c r="N7" s="78"/>
      <c r="O7" s="78"/>
      <c r="P7" s="78"/>
      <c r="Q7" s="78"/>
      <c r="R7" s="78"/>
      <c r="S7" s="78"/>
      <c r="T7" s="78"/>
      <c r="U7" s="78"/>
      <c r="V7" s="78"/>
      <c r="W7" s="78"/>
      <c r="X7" s="78"/>
      <c r="Y7" s="78"/>
      <c r="Z7" s="78"/>
      <c r="AA7" s="78"/>
    </row>
    <row r="8" ht="22.5" customHeight="1">
      <c r="A8" s="79" t="s">
        <v>43</v>
      </c>
      <c r="B8" s="66" t="s">
        <v>51</v>
      </c>
      <c r="C8" s="67">
        <v>20.0</v>
      </c>
      <c r="D8" s="58" t="s">
        <v>45</v>
      </c>
      <c r="E8" s="59">
        <f t="shared" ref="E8:E27" si="1">IF(OR(D8="Appetizer", D8="Treated",D8="N/A"), 0, SUMIF(A$8:A1000, A8, C$8:C1000) + (SUMIF(D$8:D1000, "Appetizer", C$8:C1000) + SUMIF(D$8:D1000, "Treated", C$8:C1000)) / COUNTIF(D$8:D1000, "Solo"))
</f>
        <v>33</v>
      </c>
      <c r="F8" s="60">
        <f>IFERROR(ROUND(E8 / Bill_Summary_2[$ Subtotal], 4), 0)
</f>
        <v>0.3143</v>
      </c>
      <c r="G8" s="59">
        <f>IFERROR(F8*(Bill_Summary_2[$ Tax]+Bill_Summary_2[$ Tip ]), 0)
</f>
        <v>7.8575</v>
      </c>
      <c r="H8" s="59">
        <f t="shared" ref="H8:H27" si="2">E8+G8</f>
        <v>40.8575</v>
      </c>
      <c r="I8" s="61" t="b">
        <v>1</v>
      </c>
      <c r="J8" s="59" t="str">
        <f t="shared" ref="J8:J27" si="3">IF(E8=0,"",A8 &amp; " ($" &amp; TEXT(H8, "#,##0.00") &amp; ") " &amp; IF(I8=TRUE, "✅", "❌"))</f>
        <v>Matt ($40.86) ✅</v>
      </c>
      <c r="K8" s="74"/>
      <c r="L8" s="74"/>
      <c r="M8" s="74"/>
      <c r="N8" s="74"/>
      <c r="O8" s="74"/>
      <c r="P8" s="74"/>
      <c r="Q8" s="74"/>
      <c r="R8" s="74"/>
      <c r="S8" s="74"/>
      <c r="T8" s="74"/>
      <c r="U8" s="74"/>
      <c r="V8" s="74"/>
      <c r="W8" s="74"/>
      <c r="X8" s="74"/>
      <c r="Y8" s="74"/>
      <c r="Z8" s="74"/>
      <c r="AA8" s="74"/>
    </row>
    <row r="9" ht="22.5" customHeight="1">
      <c r="A9" s="79" t="s">
        <v>52</v>
      </c>
      <c r="B9" s="66" t="s">
        <v>53</v>
      </c>
      <c r="C9" s="67">
        <v>25.0</v>
      </c>
      <c r="D9" s="58" t="s">
        <v>45</v>
      </c>
      <c r="E9" s="59">
        <f t="shared" si="1"/>
        <v>38</v>
      </c>
      <c r="F9" s="60">
        <f>IFERROR(ROUND(E9 / Bill_Summary_2[$ Subtotal], 4), 0)
</f>
        <v>0.3619</v>
      </c>
      <c r="G9" s="59">
        <f>IFERROR(F9*(Bill_Summary_2[$ Tax]+Bill_Summary_2[$ Tip ]), 0)
</f>
        <v>9.0475</v>
      </c>
      <c r="H9" s="59">
        <f t="shared" si="2"/>
        <v>47.0475</v>
      </c>
      <c r="I9" s="61" t="b">
        <v>0</v>
      </c>
      <c r="J9" s="59" t="str">
        <f t="shared" si="3"/>
        <v>Miggy ($47.05) ❌</v>
      </c>
      <c r="K9" s="74"/>
      <c r="L9" s="74"/>
      <c r="M9" s="74"/>
      <c r="N9" s="74"/>
      <c r="O9" s="74"/>
      <c r="P9" s="74"/>
      <c r="Q9" s="74"/>
      <c r="R9" s="74"/>
      <c r="S9" s="74"/>
      <c r="T9" s="74"/>
      <c r="U9" s="74"/>
      <c r="V9" s="74"/>
      <c r="W9" s="74"/>
      <c r="X9" s="74"/>
      <c r="Y9" s="74"/>
      <c r="Z9" s="74"/>
      <c r="AA9" s="74"/>
    </row>
    <row r="10" ht="22.5" customHeight="1">
      <c r="A10" s="65" t="s">
        <v>54</v>
      </c>
      <c r="B10" s="66" t="s">
        <v>55</v>
      </c>
      <c r="C10" s="67">
        <v>21.0</v>
      </c>
      <c r="D10" s="58" t="s">
        <v>45</v>
      </c>
      <c r="E10" s="59">
        <f t="shared" si="1"/>
        <v>34</v>
      </c>
      <c r="F10" s="60">
        <f>IFERROR(ROUND(E10 / Bill_Summary_2[$ Subtotal], 4), 0)
</f>
        <v>0.3238</v>
      </c>
      <c r="G10" s="59">
        <f>IFERROR(F10*(Bill_Summary_2[$ Tax]+Bill_Summary_2[$ Tip ]), 0)
</f>
        <v>8.095</v>
      </c>
      <c r="H10" s="59">
        <f t="shared" si="2"/>
        <v>42.095</v>
      </c>
      <c r="I10" s="63" t="b">
        <v>1</v>
      </c>
      <c r="J10" s="59" t="str">
        <f t="shared" si="3"/>
        <v>Sean ($42.10) ✅</v>
      </c>
      <c r="K10" s="74"/>
      <c r="L10" s="74"/>
      <c r="M10" s="74"/>
      <c r="N10" s="74"/>
      <c r="O10" s="74"/>
      <c r="P10" s="74"/>
      <c r="Q10" s="74"/>
      <c r="R10" s="74"/>
      <c r="S10" s="74"/>
      <c r="T10" s="74"/>
      <c r="U10" s="74"/>
      <c r="V10" s="74"/>
      <c r="W10" s="74"/>
      <c r="X10" s="74"/>
      <c r="Y10" s="74"/>
      <c r="Z10" s="74"/>
      <c r="AA10" s="74"/>
    </row>
    <row r="11" ht="22.5" customHeight="1">
      <c r="A11" s="65" t="s">
        <v>56</v>
      </c>
      <c r="B11" s="66" t="s">
        <v>57</v>
      </c>
      <c r="C11" s="67">
        <v>20.0</v>
      </c>
      <c r="D11" s="68" t="s">
        <v>58</v>
      </c>
      <c r="E11" s="59">
        <f t="shared" si="1"/>
        <v>0</v>
      </c>
      <c r="F11" s="60">
        <f>IFERROR(ROUND(E11 / Bill_Summary_2[$ Subtotal], 4), 0)
</f>
        <v>0</v>
      </c>
      <c r="G11" s="59">
        <f>IFERROR(F11*(Bill_Summary_2[$ Tax]+Bill_Summary_2[$ Tip ]), 0)
</f>
        <v>0</v>
      </c>
      <c r="H11" s="59">
        <f t="shared" si="2"/>
        <v>0</v>
      </c>
      <c r="I11" s="63" t="b">
        <v>0</v>
      </c>
      <c r="J11" s="59" t="str">
        <f t="shared" si="3"/>
        <v/>
      </c>
      <c r="K11" s="74"/>
      <c r="L11" s="74"/>
      <c r="M11" s="74"/>
      <c r="N11" s="74"/>
      <c r="O11" s="74"/>
      <c r="P11" s="74"/>
      <c r="Q11" s="74"/>
      <c r="R11" s="74"/>
      <c r="S11" s="74"/>
      <c r="T11" s="74"/>
      <c r="U11" s="74"/>
      <c r="V11" s="74"/>
      <c r="W11" s="74"/>
      <c r="X11" s="74"/>
      <c r="Y11" s="74"/>
      <c r="Z11" s="74"/>
      <c r="AA11" s="74"/>
    </row>
    <row r="12" ht="22.5" customHeight="1">
      <c r="A12" s="65" t="s">
        <v>59</v>
      </c>
      <c r="B12" s="66" t="s">
        <v>60</v>
      </c>
      <c r="C12" s="67">
        <v>19.0</v>
      </c>
      <c r="D12" s="68" t="s">
        <v>61</v>
      </c>
      <c r="E12" s="59">
        <f t="shared" si="1"/>
        <v>0</v>
      </c>
      <c r="F12" s="60">
        <f>IFERROR(ROUND(E12 / Bill_Summary_2[$ Subtotal], 4), 0)
</f>
        <v>0</v>
      </c>
      <c r="G12" s="59">
        <f>IFERROR(F12*(Bill_Summary_2[$ Tax]+Bill_Summary_2[$ Tip ]), 0)
</f>
        <v>0</v>
      </c>
      <c r="H12" s="59">
        <f t="shared" si="2"/>
        <v>0</v>
      </c>
      <c r="I12" s="63" t="b">
        <v>0</v>
      </c>
      <c r="J12" s="59" t="str">
        <f t="shared" si="3"/>
        <v/>
      </c>
      <c r="K12" s="74"/>
      <c r="L12" s="74"/>
      <c r="M12" s="74"/>
      <c r="N12" s="74"/>
      <c r="O12" s="74"/>
      <c r="P12" s="74"/>
      <c r="Q12" s="74"/>
      <c r="R12" s="74"/>
      <c r="S12" s="74"/>
      <c r="T12" s="74"/>
      <c r="U12" s="74"/>
      <c r="V12" s="74"/>
      <c r="W12" s="74"/>
      <c r="X12" s="74"/>
      <c r="Y12" s="74"/>
      <c r="Z12" s="74"/>
      <c r="AA12" s="74"/>
    </row>
    <row r="13" ht="22.5" customHeight="1">
      <c r="A13" s="62"/>
      <c r="B13" s="56"/>
      <c r="C13" s="57"/>
      <c r="D13" s="64" t="s">
        <v>50</v>
      </c>
      <c r="E13" s="59">
        <f t="shared" si="1"/>
        <v>0</v>
      </c>
      <c r="F13" s="60">
        <f>IFERROR(ROUND(E13 / Bill_Summary_2[$ Subtotal], 4), 0)
</f>
        <v>0</v>
      </c>
      <c r="G13" s="59">
        <f>IFERROR(F13*(Bill_Summary_2[$ Tax]+Bill_Summary_2[$ Tip ]), 0)
</f>
        <v>0</v>
      </c>
      <c r="H13" s="59">
        <f t="shared" si="2"/>
        <v>0</v>
      </c>
      <c r="I13" s="63" t="b">
        <v>0</v>
      </c>
      <c r="J13" s="59" t="str">
        <f t="shared" si="3"/>
        <v/>
      </c>
      <c r="K13" s="74"/>
      <c r="L13" s="74"/>
      <c r="M13" s="74"/>
      <c r="N13" s="74"/>
      <c r="O13" s="74"/>
      <c r="P13" s="74"/>
      <c r="Q13" s="74"/>
      <c r="R13" s="74"/>
      <c r="S13" s="74"/>
      <c r="T13" s="74"/>
      <c r="U13" s="74"/>
      <c r="V13" s="74"/>
      <c r="W13" s="74"/>
      <c r="X13" s="74"/>
      <c r="Y13" s="74"/>
      <c r="Z13" s="74"/>
      <c r="AA13" s="74"/>
    </row>
    <row r="14" ht="22.5" customHeight="1">
      <c r="A14" s="62"/>
      <c r="B14" s="56"/>
      <c r="C14" s="57"/>
      <c r="D14" s="64" t="s">
        <v>50</v>
      </c>
      <c r="E14" s="59">
        <f t="shared" si="1"/>
        <v>0</v>
      </c>
      <c r="F14" s="60">
        <f>IFERROR(ROUND(E14 / Bill_Summary_2[$ Subtotal], 4), 0)
</f>
        <v>0</v>
      </c>
      <c r="G14" s="59">
        <f>IFERROR(F14*(Bill_Summary_2[$ Tax]+Bill_Summary_2[$ Tip ]), 0)
</f>
        <v>0</v>
      </c>
      <c r="H14" s="59">
        <f t="shared" si="2"/>
        <v>0</v>
      </c>
      <c r="I14" s="63" t="b">
        <v>0</v>
      </c>
      <c r="J14" s="59" t="str">
        <f t="shared" si="3"/>
        <v/>
      </c>
      <c r="K14" s="74"/>
      <c r="L14" s="74"/>
      <c r="M14" s="74"/>
      <c r="N14" s="74"/>
      <c r="O14" s="74"/>
      <c r="P14" s="74"/>
      <c r="Q14" s="74"/>
      <c r="R14" s="74"/>
      <c r="S14" s="74"/>
      <c r="T14" s="74"/>
      <c r="U14" s="74"/>
      <c r="V14" s="74"/>
      <c r="W14" s="74"/>
      <c r="X14" s="74"/>
      <c r="Y14" s="74"/>
      <c r="Z14" s="74"/>
      <c r="AA14" s="74"/>
    </row>
    <row r="15" ht="22.5" customHeight="1">
      <c r="A15" s="62"/>
      <c r="B15" s="56"/>
      <c r="C15" s="57"/>
      <c r="D15" s="64" t="s">
        <v>50</v>
      </c>
      <c r="E15" s="59">
        <f t="shared" si="1"/>
        <v>0</v>
      </c>
      <c r="F15" s="60">
        <f>IFERROR(ROUND(E15 / Bill_Summary_2[$ Subtotal], 4), 0)
</f>
        <v>0</v>
      </c>
      <c r="G15" s="59">
        <f>IFERROR(F15*(Bill_Summary_2[$ Tax]+Bill_Summary_2[$ Tip ]), 0)
</f>
        <v>0</v>
      </c>
      <c r="H15" s="59">
        <f t="shared" si="2"/>
        <v>0</v>
      </c>
      <c r="I15" s="63" t="b">
        <v>0</v>
      </c>
      <c r="J15" s="59" t="str">
        <f t="shared" si="3"/>
        <v/>
      </c>
      <c r="K15" s="74"/>
      <c r="L15" s="74"/>
      <c r="M15" s="74"/>
      <c r="N15" s="74"/>
      <c r="O15" s="74"/>
      <c r="P15" s="74"/>
      <c r="Q15" s="74"/>
      <c r="R15" s="74"/>
      <c r="S15" s="74"/>
      <c r="T15" s="74"/>
      <c r="U15" s="74"/>
      <c r="V15" s="74"/>
      <c r="W15" s="74"/>
      <c r="X15" s="74"/>
      <c r="Y15" s="74"/>
      <c r="Z15" s="74"/>
      <c r="AA15" s="74"/>
    </row>
    <row r="16" ht="22.5" customHeight="1">
      <c r="A16" s="62"/>
      <c r="B16" s="56"/>
      <c r="C16" s="57"/>
      <c r="D16" s="64" t="s">
        <v>50</v>
      </c>
      <c r="E16" s="59">
        <f t="shared" si="1"/>
        <v>0</v>
      </c>
      <c r="F16" s="60">
        <f>IFERROR(ROUND(E16 / Bill_Summary_2[$ Subtotal], 4), 0)
</f>
        <v>0</v>
      </c>
      <c r="G16" s="59">
        <f>IFERROR(F16*(Bill_Summary_2[$ Tax]+Bill_Summary_2[$ Tip ]), 0)
</f>
        <v>0</v>
      </c>
      <c r="H16" s="59">
        <f t="shared" si="2"/>
        <v>0</v>
      </c>
      <c r="I16" s="63" t="b">
        <v>0</v>
      </c>
      <c r="J16" s="59" t="str">
        <f t="shared" si="3"/>
        <v/>
      </c>
      <c r="K16" s="74"/>
      <c r="L16" s="74"/>
      <c r="M16" s="74"/>
      <c r="N16" s="74"/>
      <c r="O16" s="74"/>
      <c r="P16" s="74"/>
      <c r="Q16" s="74"/>
      <c r="R16" s="74"/>
      <c r="S16" s="74"/>
      <c r="T16" s="74"/>
      <c r="U16" s="74"/>
      <c r="V16" s="74"/>
      <c r="W16" s="74"/>
      <c r="X16" s="74"/>
      <c r="Y16" s="74"/>
      <c r="Z16" s="74"/>
      <c r="AA16" s="74"/>
    </row>
    <row r="17" ht="22.5" customHeight="1">
      <c r="A17" s="65"/>
      <c r="B17" s="66"/>
      <c r="C17" s="67"/>
      <c r="D17" s="68" t="s">
        <v>50</v>
      </c>
      <c r="E17" s="59">
        <f t="shared" si="1"/>
        <v>0</v>
      </c>
      <c r="F17" s="60">
        <f>IFERROR(ROUND(E17 / Bill_Summary_2[$ Subtotal], 4), 0)
</f>
        <v>0</v>
      </c>
      <c r="G17" s="59">
        <f>IFERROR(F17*(Bill_Summary_2[$ Tax]+Bill_Summary_2[$ Tip ]), 0)
</f>
        <v>0</v>
      </c>
      <c r="H17" s="59">
        <f t="shared" si="2"/>
        <v>0</v>
      </c>
      <c r="I17" s="61" t="b">
        <v>0</v>
      </c>
      <c r="J17" s="59" t="str">
        <f t="shared" si="3"/>
        <v/>
      </c>
      <c r="K17" s="74"/>
      <c r="L17" s="74"/>
      <c r="M17" s="74"/>
      <c r="N17" s="74"/>
      <c r="O17" s="74"/>
      <c r="P17" s="74"/>
      <c r="Q17" s="74"/>
      <c r="R17" s="74"/>
      <c r="S17" s="74"/>
      <c r="T17" s="74"/>
      <c r="U17" s="74"/>
      <c r="V17" s="74"/>
      <c r="W17" s="74"/>
      <c r="X17" s="74"/>
      <c r="Y17" s="74"/>
      <c r="Z17" s="74"/>
      <c r="AA17" s="74"/>
    </row>
    <row r="18" ht="22.5" customHeight="1">
      <c r="A18" s="62"/>
      <c r="B18" s="56"/>
      <c r="C18" s="57"/>
      <c r="D18" s="64" t="s">
        <v>50</v>
      </c>
      <c r="E18" s="59">
        <f t="shared" si="1"/>
        <v>0</v>
      </c>
      <c r="F18" s="60">
        <f>IFERROR(ROUND(E18 / Bill_Summary_2[$ Subtotal], 4), 0)
</f>
        <v>0</v>
      </c>
      <c r="G18" s="59">
        <f>IFERROR(F18*(Bill_Summary_2[$ Tax]+Bill_Summary_2[$ Tip ]), 0)
</f>
        <v>0</v>
      </c>
      <c r="H18" s="59">
        <f t="shared" si="2"/>
        <v>0</v>
      </c>
      <c r="I18" s="63" t="b">
        <v>0</v>
      </c>
      <c r="J18" s="59" t="str">
        <f t="shared" si="3"/>
        <v/>
      </c>
      <c r="K18" s="74"/>
      <c r="L18" s="74"/>
      <c r="M18" s="74"/>
      <c r="N18" s="74"/>
      <c r="O18" s="74"/>
      <c r="P18" s="74"/>
      <c r="Q18" s="74"/>
      <c r="R18" s="74"/>
      <c r="S18" s="74"/>
      <c r="T18" s="74"/>
      <c r="U18" s="74"/>
      <c r="V18" s="74"/>
      <c r="W18" s="74"/>
      <c r="X18" s="74"/>
      <c r="Y18" s="74"/>
      <c r="Z18" s="74"/>
      <c r="AA18" s="74"/>
    </row>
    <row r="19" ht="22.5" customHeight="1">
      <c r="A19" s="62"/>
      <c r="B19" s="56"/>
      <c r="C19" s="57"/>
      <c r="D19" s="64" t="s">
        <v>50</v>
      </c>
      <c r="E19" s="59">
        <f t="shared" si="1"/>
        <v>0</v>
      </c>
      <c r="F19" s="60">
        <f>IFERROR(ROUND(E19 / Bill_Summary_2[$ Subtotal], 4), 0)
</f>
        <v>0</v>
      </c>
      <c r="G19" s="59">
        <f>IFERROR(F19*(Bill_Summary_2[$ Tax]+Bill_Summary_2[$ Tip ]), 0)
</f>
        <v>0</v>
      </c>
      <c r="H19" s="59">
        <f t="shared" si="2"/>
        <v>0</v>
      </c>
      <c r="I19" s="63" t="b">
        <v>0</v>
      </c>
      <c r="J19" s="59" t="str">
        <f t="shared" si="3"/>
        <v/>
      </c>
      <c r="K19" s="74"/>
      <c r="L19" s="74"/>
      <c r="M19" s="74"/>
      <c r="N19" s="74"/>
      <c r="O19" s="74"/>
      <c r="P19" s="74"/>
      <c r="Q19" s="74"/>
      <c r="R19" s="74"/>
      <c r="S19" s="74"/>
      <c r="T19" s="74"/>
      <c r="U19" s="74"/>
      <c r="V19" s="74"/>
      <c r="W19" s="74"/>
      <c r="X19" s="74"/>
      <c r="Y19" s="74"/>
      <c r="Z19" s="74"/>
      <c r="AA19" s="74"/>
    </row>
    <row r="20" ht="22.5" customHeight="1">
      <c r="A20" s="62"/>
      <c r="B20" s="56"/>
      <c r="C20" s="57"/>
      <c r="D20" s="64" t="s">
        <v>50</v>
      </c>
      <c r="E20" s="59">
        <f t="shared" si="1"/>
        <v>0</v>
      </c>
      <c r="F20" s="60">
        <f>IFERROR(ROUND(E20 / Bill_Summary_2[$ Subtotal], 4), 0)
</f>
        <v>0</v>
      </c>
      <c r="G20" s="59">
        <f>IFERROR(F20*(Bill_Summary_2[$ Tax]+Bill_Summary_2[$ Tip ]), 0)
</f>
        <v>0</v>
      </c>
      <c r="H20" s="59">
        <f t="shared" si="2"/>
        <v>0</v>
      </c>
      <c r="I20" s="63" t="b">
        <v>0</v>
      </c>
      <c r="J20" s="59" t="str">
        <f t="shared" si="3"/>
        <v/>
      </c>
      <c r="K20" s="74"/>
      <c r="L20" s="74"/>
      <c r="M20" s="74"/>
      <c r="N20" s="74"/>
      <c r="O20" s="74"/>
      <c r="P20" s="74"/>
      <c r="Q20" s="74"/>
      <c r="R20" s="74"/>
      <c r="S20" s="74"/>
      <c r="T20" s="74"/>
      <c r="U20" s="74"/>
      <c r="V20" s="74"/>
      <c r="W20" s="74"/>
      <c r="X20" s="74"/>
      <c r="Y20" s="74"/>
      <c r="Z20" s="74"/>
      <c r="AA20" s="74"/>
    </row>
    <row r="21" ht="22.5" customHeight="1">
      <c r="A21" s="62"/>
      <c r="B21" s="56"/>
      <c r="C21" s="57"/>
      <c r="D21" s="64" t="s">
        <v>50</v>
      </c>
      <c r="E21" s="59">
        <f t="shared" si="1"/>
        <v>0</v>
      </c>
      <c r="F21" s="60">
        <f>IFERROR(ROUND(E21 / Bill_Summary_2[$ Subtotal], 4), 0)
</f>
        <v>0</v>
      </c>
      <c r="G21" s="59">
        <f>IFERROR(F21*(Bill_Summary_2[$ Tax]+Bill_Summary_2[$ Tip ]), 0)
</f>
        <v>0</v>
      </c>
      <c r="H21" s="59">
        <f t="shared" si="2"/>
        <v>0</v>
      </c>
      <c r="I21" s="63" t="b">
        <v>0</v>
      </c>
      <c r="J21" s="59" t="str">
        <f t="shared" si="3"/>
        <v/>
      </c>
      <c r="K21" s="74"/>
      <c r="L21" s="74"/>
      <c r="M21" s="74"/>
      <c r="N21" s="74"/>
      <c r="O21" s="74"/>
      <c r="P21" s="74"/>
      <c r="Q21" s="74"/>
      <c r="R21" s="74"/>
      <c r="S21" s="74"/>
      <c r="T21" s="74"/>
      <c r="U21" s="74"/>
      <c r="V21" s="74"/>
      <c r="W21" s="74"/>
      <c r="X21" s="74"/>
      <c r="Y21" s="74"/>
      <c r="Z21" s="74"/>
      <c r="AA21" s="74"/>
    </row>
    <row r="22" ht="22.5" customHeight="1">
      <c r="A22" s="62"/>
      <c r="B22" s="56"/>
      <c r="C22" s="57"/>
      <c r="D22" s="64" t="s">
        <v>50</v>
      </c>
      <c r="E22" s="59">
        <f t="shared" si="1"/>
        <v>0</v>
      </c>
      <c r="F22" s="60">
        <f>IFERROR(ROUND(E22 / Bill_Summary_2[$ Subtotal], 4), 0)
</f>
        <v>0</v>
      </c>
      <c r="G22" s="59">
        <f>IFERROR(F22*(Bill_Summary_2[$ Tax]+Bill_Summary_2[$ Tip ]), 0)
</f>
        <v>0</v>
      </c>
      <c r="H22" s="59">
        <f t="shared" si="2"/>
        <v>0</v>
      </c>
      <c r="I22" s="63" t="b">
        <v>0</v>
      </c>
      <c r="J22" s="59" t="str">
        <f t="shared" si="3"/>
        <v/>
      </c>
      <c r="K22" s="74"/>
      <c r="L22" s="74"/>
      <c r="M22" s="74"/>
      <c r="N22" s="74"/>
      <c r="O22" s="74"/>
      <c r="P22" s="74"/>
      <c r="Q22" s="74"/>
      <c r="R22" s="74"/>
      <c r="S22" s="74"/>
      <c r="T22" s="74"/>
      <c r="U22" s="74"/>
      <c r="V22" s="74"/>
      <c r="W22" s="74"/>
      <c r="X22" s="74"/>
      <c r="Y22" s="74"/>
      <c r="Z22" s="74"/>
      <c r="AA22" s="74"/>
    </row>
    <row r="23" ht="22.5" customHeight="1">
      <c r="A23" s="62"/>
      <c r="B23" s="56"/>
      <c r="C23" s="57"/>
      <c r="D23" s="64" t="s">
        <v>50</v>
      </c>
      <c r="E23" s="59">
        <f t="shared" si="1"/>
        <v>0</v>
      </c>
      <c r="F23" s="60">
        <f>IFERROR(ROUND(E23 / Bill_Summary_2[$ Subtotal], 4), 0)
</f>
        <v>0</v>
      </c>
      <c r="G23" s="59">
        <f>IFERROR(F23*(Bill_Summary_2[$ Tax]+Bill_Summary_2[$ Tip ]), 0)
</f>
        <v>0</v>
      </c>
      <c r="H23" s="59">
        <f t="shared" si="2"/>
        <v>0</v>
      </c>
      <c r="I23" s="63" t="b">
        <v>0</v>
      </c>
      <c r="J23" s="59" t="str">
        <f t="shared" si="3"/>
        <v/>
      </c>
      <c r="K23" s="74"/>
      <c r="L23" s="74"/>
      <c r="M23" s="74"/>
      <c r="N23" s="74"/>
      <c r="O23" s="74"/>
      <c r="P23" s="74"/>
      <c r="Q23" s="74"/>
      <c r="R23" s="74"/>
      <c r="S23" s="74"/>
      <c r="T23" s="74"/>
      <c r="U23" s="74"/>
      <c r="V23" s="74"/>
      <c r="W23" s="74"/>
      <c r="X23" s="74"/>
      <c r="Y23" s="74"/>
      <c r="Z23" s="74"/>
      <c r="AA23" s="74"/>
    </row>
    <row r="24" ht="22.5" customHeight="1">
      <c r="A24" s="62"/>
      <c r="B24" s="56"/>
      <c r="C24" s="57"/>
      <c r="D24" s="64" t="s">
        <v>50</v>
      </c>
      <c r="E24" s="59">
        <f t="shared" si="1"/>
        <v>0</v>
      </c>
      <c r="F24" s="60">
        <f>IFERROR(ROUND(E24 / Bill_Summary_2[$ Subtotal], 4), 0)
</f>
        <v>0</v>
      </c>
      <c r="G24" s="59">
        <f>IFERROR(F24*(Bill_Summary_2[$ Tax]+Bill_Summary_2[$ Tip ]), 0)
</f>
        <v>0</v>
      </c>
      <c r="H24" s="59">
        <f t="shared" si="2"/>
        <v>0</v>
      </c>
      <c r="I24" s="63" t="b">
        <v>0</v>
      </c>
      <c r="J24" s="59" t="str">
        <f t="shared" si="3"/>
        <v/>
      </c>
      <c r="K24" s="74"/>
      <c r="L24" s="74"/>
      <c r="M24" s="74"/>
      <c r="N24" s="74"/>
      <c r="O24" s="74"/>
      <c r="P24" s="74"/>
      <c r="Q24" s="74"/>
      <c r="R24" s="74"/>
      <c r="S24" s="74"/>
      <c r="T24" s="74"/>
      <c r="U24" s="74"/>
      <c r="V24" s="74"/>
      <c r="W24" s="74"/>
      <c r="X24" s="74"/>
      <c r="Y24" s="74"/>
      <c r="Z24" s="74"/>
      <c r="AA24" s="74"/>
    </row>
    <row r="25" ht="22.5" customHeight="1">
      <c r="A25" s="62"/>
      <c r="B25" s="56"/>
      <c r="C25" s="57"/>
      <c r="D25" s="64" t="s">
        <v>50</v>
      </c>
      <c r="E25" s="59">
        <f t="shared" si="1"/>
        <v>0</v>
      </c>
      <c r="F25" s="60">
        <f>IFERROR(ROUND(E25 / Bill_Summary_2[$ Subtotal], 4), 0)
</f>
        <v>0</v>
      </c>
      <c r="G25" s="59">
        <f>IFERROR(F25*(Bill_Summary_2[$ Tax]+Bill_Summary_2[$ Tip ]), 0)
</f>
        <v>0</v>
      </c>
      <c r="H25" s="59">
        <f t="shared" si="2"/>
        <v>0</v>
      </c>
      <c r="I25" s="63" t="b">
        <v>0</v>
      </c>
      <c r="J25" s="59" t="str">
        <f t="shared" si="3"/>
        <v/>
      </c>
      <c r="K25" s="74"/>
      <c r="L25" s="74"/>
      <c r="M25" s="74"/>
      <c r="N25" s="74"/>
      <c r="O25" s="74"/>
      <c r="P25" s="74"/>
      <c r="Q25" s="74"/>
      <c r="R25" s="74"/>
      <c r="S25" s="74"/>
      <c r="T25" s="74"/>
      <c r="U25" s="74"/>
      <c r="V25" s="74"/>
      <c r="W25" s="74"/>
      <c r="X25" s="74"/>
      <c r="Y25" s="74"/>
      <c r="Z25" s="74"/>
      <c r="AA25" s="74"/>
    </row>
    <row r="26" ht="22.5" customHeight="1">
      <c r="A26" s="62"/>
      <c r="B26" s="56"/>
      <c r="C26" s="57"/>
      <c r="D26" s="64" t="s">
        <v>50</v>
      </c>
      <c r="E26" s="59">
        <f t="shared" si="1"/>
        <v>0</v>
      </c>
      <c r="F26" s="60">
        <f>IFERROR(ROUND(E26 / Bill_Summary_2[$ Subtotal], 4), 0)
</f>
        <v>0</v>
      </c>
      <c r="G26" s="59">
        <f>IFERROR(F26*(Bill_Summary_2[$ Tax]+Bill_Summary_2[$ Tip ]), 0)
</f>
        <v>0</v>
      </c>
      <c r="H26" s="59">
        <f t="shared" si="2"/>
        <v>0</v>
      </c>
      <c r="I26" s="63" t="b">
        <v>0</v>
      </c>
      <c r="J26" s="59" t="str">
        <f t="shared" si="3"/>
        <v/>
      </c>
      <c r="K26" s="74"/>
      <c r="L26" s="74"/>
      <c r="M26" s="74"/>
      <c r="N26" s="74"/>
      <c r="O26" s="74"/>
      <c r="P26" s="74"/>
      <c r="Q26" s="74"/>
      <c r="R26" s="74"/>
      <c r="S26" s="74"/>
      <c r="T26" s="74"/>
      <c r="U26" s="74"/>
      <c r="V26" s="74"/>
      <c r="W26" s="74"/>
      <c r="X26" s="74"/>
      <c r="Y26" s="74"/>
      <c r="Z26" s="74"/>
      <c r="AA26" s="74"/>
    </row>
    <row r="27" ht="22.5" customHeight="1">
      <c r="A27" s="69"/>
      <c r="B27" s="70"/>
      <c r="C27" s="71"/>
      <c r="D27" s="72" t="s">
        <v>50</v>
      </c>
      <c r="E27" s="59">
        <f t="shared" si="1"/>
        <v>0</v>
      </c>
      <c r="F27" s="60">
        <f>IFERROR(ROUND(E27 / Bill_Summary_2[$ Subtotal], 4), 0)
</f>
        <v>0</v>
      </c>
      <c r="G27" s="59">
        <f>IFERROR(F27*(Bill_Summary_2[$ Tax]+Bill_Summary_2[$ Tip ]), 0)
</f>
        <v>0</v>
      </c>
      <c r="H27" s="59">
        <f t="shared" si="2"/>
        <v>0</v>
      </c>
      <c r="I27" s="73" t="b">
        <v>0</v>
      </c>
      <c r="J27" s="59" t="str">
        <f t="shared" si="3"/>
        <v/>
      </c>
      <c r="K27" s="74"/>
      <c r="L27" s="74"/>
      <c r="M27" s="74"/>
      <c r="N27" s="74"/>
      <c r="O27" s="74"/>
      <c r="P27" s="74"/>
      <c r="Q27" s="74"/>
      <c r="R27" s="74"/>
      <c r="S27" s="74"/>
      <c r="T27" s="74"/>
      <c r="U27" s="74"/>
      <c r="V27" s="74"/>
      <c r="W27" s="74"/>
      <c r="X27" s="74"/>
      <c r="Y27" s="74"/>
      <c r="Z27" s="74"/>
      <c r="AA27" s="74"/>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row>
  </sheetData>
  <mergeCells count="6">
    <mergeCell ref="A1:J1"/>
    <mergeCell ref="F2:J2"/>
    <mergeCell ref="F3:J3"/>
    <mergeCell ref="F4:J4"/>
    <mergeCell ref="F5:J5"/>
    <mergeCell ref="A2:A5"/>
  </mergeCells>
  <conditionalFormatting sqref="J8:J22">
    <cfRule type="expression" dxfId="7" priority="1">
      <formula>AND(I8=FALSE,E8&lt;&gt;0)</formula>
    </cfRule>
  </conditionalFormatting>
  <dataValidations>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 customWidth="1" min="3" max="3" width="15.88"/>
    <col customWidth="1" min="4" max="4" width="13.88"/>
    <col customWidth="1" min="6" max="6" width="15.0"/>
    <col customWidth="1" min="9" max="9" width="9.88"/>
    <col customWidth="1" min="10" max="10" width="22.25"/>
  </cols>
  <sheetData>
    <row r="1">
      <c r="A1" s="32" t="s">
        <v>28</v>
      </c>
      <c r="K1" s="74"/>
      <c r="L1" s="74"/>
      <c r="M1" s="74"/>
      <c r="N1" s="74"/>
      <c r="O1" s="74"/>
      <c r="P1" s="74"/>
      <c r="Q1" s="74"/>
      <c r="R1" s="74"/>
      <c r="S1" s="74"/>
      <c r="T1" s="74"/>
      <c r="U1" s="74"/>
      <c r="V1" s="74"/>
      <c r="W1" s="74"/>
      <c r="X1" s="74"/>
      <c r="Y1" s="74"/>
      <c r="Z1" s="74"/>
      <c r="AA1" s="74"/>
    </row>
    <row r="2">
      <c r="A2" s="33" t="s">
        <v>29</v>
      </c>
      <c r="B2" s="74"/>
      <c r="C2" s="74"/>
      <c r="D2" s="74"/>
      <c r="E2" s="74"/>
      <c r="F2" s="34" t="s">
        <v>30</v>
      </c>
      <c r="G2" s="35"/>
      <c r="H2" s="35"/>
      <c r="I2" s="35"/>
      <c r="J2" s="36"/>
      <c r="K2" s="74"/>
      <c r="L2" s="74"/>
      <c r="M2" s="74"/>
      <c r="N2" s="74"/>
      <c r="O2" s="74"/>
      <c r="P2" s="74"/>
      <c r="Q2" s="74"/>
      <c r="R2" s="74"/>
      <c r="S2" s="74"/>
      <c r="T2" s="74"/>
      <c r="U2" s="74"/>
      <c r="V2" s="74"/>
      <c r="W2" s="74"/>
      <c r="X2" s="74"/>
      <c r="Y2" s="74"/>
      <c r="Z2" s="74"/>
      <c r="AA2" s="74"/>
    </row>
    <row r="3" ht="26.25" customHeight="1">
      <c r="A3" s="37"/>
      <c r="B3" s="38" t="s">
        <v>31</v>
      </c>
      <c r="C3" s="39" t="s">
        <v>32</v>
      </c>
      <c r="D3" s="39" t="s">
        <v>33</v>
      </c>
      <c r="E3" s="39" t="s">
        <v>34</v>
      </c>
      <c r="F3" s="40" t="s">
        <v>35</v>
      </c>
      <c r="J3" s="41"/>
      <c r="K3" s="74"/>
      <c r="L3" s="74"/>
      <c r="M3" s="74"/>
      <c r="N3" s="74"/>
      <c r="O3" s="74"/>
      <c r="P3" s="74"/>
      <c r="Q3" s="74"/>
      <c r="R3" s="74"/>
      <c r="S3" s="74"/>
      <c r="T3" s="74"/>
      <c r="U3" s="74"/>
      <c r="V3" s="74"/>
      <c r="W3" s="74"/>
      <c r="X3" s="74"/>
      <c r="Y3" s="74"/>
      <c r="Z3" s="74"/>
      <c r="AA3" s="74"/>
    </row>
    <row r="4" ht="26.25" customHeight="1">
      <c r="A4" s="37"/>
      <c r="B4" s="75">
        <v>11.81</v>
      </c>
      <c r="C4" s="76">
        <v>20.93</v>
      </c>
      <c r="D4" s="44">
        <f>SUM(Order_Details_3[$ Price])</f>
        <v>127.7</v>
      </c>
      <c r="E4" s="44">
        <f>ROUND(SUM(H:H),4)</f>
        <v>160.44</v>
      </c>
      <c r="F4" s="40" t="s">
        <v>36</v>
      </c>
      <c r="J4" s="41"/>
      <c r="K4" s="74"/>
      <c r="L4" s="74"/>
      <c r="M4" s="74"/>
      <c r="N4" s="74"/>
      <c r="O4" s="74"/>
      <c r="P4" s="74"/>
      <c r="Q4" s="74"/>
      <c r="R4" s="74"/>
      <c r="S4" s="74"/>
      <c r="T4" s="74"/>
      <c r="U4" s="74"/>
      <c r="V4" s="74"/>
      <c r="W4" s="74"/>
      <c r="X4" s="74"/>
      <c r="Y4" s="74"/>
      <c r="Z4" s="74"/>
      <c r="AA4" s="74"/>
    </row>
    <row r="5" ht="26.25" customHeight="1">
      <c r="A5" s="37"/>
      <c r="B5" s="45" t="str">
        <f>IFERROR("("&amp;TEXT(SUM(Bill_Summary_3[$ Tax]/Bill_Summary_3[$ Subtotal]),"#,##0.00%")&amp;")",0)</f>
        <v>(9.25%)</v>
      </c>
      <c r="C5" s="46" t="str">
        <f>IFERROR("("&amp;TEXT(SUM($C$4/$D$4),"#,##0.00%")&amp;")",0)</f>
        <v>(16.39%)</v>
      </c>
      <c r="D5" s="77"/>
      <c r="E5" s="77"/>
      <c r="F5" s="48" t="s">
        <v>37</v>
      </c>
      <c r="G5" s="49"/>
      <c r="H5" s="49"/>
      <c r="I5" s="49"/>
      <c r="J5" s="50"/>
      <c r="K5" s="74"/>
      <c r="L5" s="74"/>
      <c r="M5" s="74"/>
      <c r="N5" s="74"/>
      <c r="O5" s="74"/>
      <c r="P5" s="74"/>
      <c r="Q5" s="74"/>
      <c r="R5" s="74"/>
      <c r="S5" s="74"/>
      <c r="T5" s="74"/>
      <c r="U5" s="74"/>
      <c r="V5" s="74"/>
      <c r="W5" s="74"/>
      <c r="X5" s="74"/>
      <c r="Y5" s="74"/>
      <c r="Z5" s="74"/>
      <c r="AA5" s="74"/>
    </row>
    <row r="6">
      <c r="A6" s="74"/>
      <c r="B6" s="74"/>
      <c r="C6" s="74"/>
      <c r="D6" s="74"/>
      <c r="E6" s="74"/>
      <c r="F6" s="74"/>
      <c r="G6" s="74"/>
      <c r="H6" s="74"/>
      <c r="I6" s="74"/>
      <c r="J6" s="74"/>
      <c r="K6" s="74"/>
      <c r="L6" s="74"/>
      <c r="M6" s="74"/>
      <c r="N6" s="74"/>
      <c r="O6" s="74"/>
      <c r="P6" s="74"/>
      <c r="Q6" s="74"/>
      <c r="R6" s="74"/>
      <c r="S6" s="74"/>
      <c r="T6" s="74"/>
      <c r="U6" s="74"/>
      <c r="V6" s="74"/>
      <c r="W6" s="74"/>
      <c r="X6" s="74"/>
      <c r="Y6" s="74"/>
      <c r="Z6" s="74"/>
      <c r="AA6" s="74"/>
    </row>
    <row r="7" ht="22.5" customHeight="1">
      <c r="A7" s="51" t="s">
        <v>38</v>
      </c>
      <c r="B7" s="52" t="s">
        <v>39</v>
      </c>
      <c r="C7" s="52" t="s">
        <v>40</v>
      </c>
      <c r="D7" s="52" t="s">
        <v>41</v>
      </c>
      <c r="E7" s="52" t="s">
        <v>12</v>
      </c>
      <c r="F7" s="53" t="s">
        <v>14</v>
      </c>
      <c r="G7" s="52" t="s">
        <v>16</v>
      </c>
      <c r="H7" s="52" t="s">
        <v>18</v>
      </c>
      <c r="I7" s="52" t="s">
        <v>42</v>
      </c>
      <c r="J7" s="54" t="s">
        <v>20</v>
      </c>
      <c r="K7" s="78"/>
      <c r="L7" s="78"/>
      <c r="M7" s="78"/>
      <c r="N7" s="78"/>
      <c r="O7" s="78"/>
      <c r="P7" s="78"/>
      <c r="Q7" s="78"/>
      <c r="R7" s="78"/>
      <c r="S7" s="78"/>
      <c r="T7" s="78"/>
      <c r="U7" s="78"/>
      <c r="V7" s="78"/>
      <c r="W7" s="78"/>
      <c r="X7" s="78"/>
      <c r="Y7" s="78"/>
      <c r="Z7" s="78"/>
      <c r="AA7" s="78"/>
    </row>
    <row r="8" ht="22.5" customHeight="1">
      <c r="A8" s="79"/>
      <c r="B8" s="66" t="s">
        <v>62</v>
      </c>
      <c r="C8" s="67">
        <v>25.95</v>
      </c>
      <c r="D8" s="80" t="s">
        <v>61</v>
      </c>
      <c r="E8" s="59">
        <f t="shared" ref="E8:E27" si="1">IF(OR(D8="Appetizer", D8="Treated",D8="N/A"), 0, SUMIF(A$8:A1000, A8, C$8:C1000) + (SUMIF(D$8:D1000, "Appetizer", C$8:C1000) + SUMIF(D$8:D1000, "Treated", C$8:C1000)) / COUNTIF(D$8:D1000, "Solo"))
</f>
        <v>0</v>
      </c>
      <c r="F8" s="60">
        <f>IFERROR(ROUND(E8 / Bill_Summary_3[$ Subtotal], 4), 0)
</f>
        <v>0</v>
      </c>
      <c r="G8" s="59">
        <f>IFERROR(F8*(Bill_Summary_3[$ Tax]+Bill_Summary_3[$ Tip ]), 0)
</f>
        <v>0</v>
      </c>
      <c r="H8" s="59">
        <f t="shared" ref="H8:H27" si="2">E8+G8</f>
        <v>0</v>
      </c>
      <c r="I8" s="61" t="b">
        <v>0</v>
      </c>
      <c r="J8" s="59" t="str">
        <f t="shared" ref="J8:J27" si="3">IF(E8=0,"",A8 &amp; " ($" &amp; TEXT(H8, "#,##0.00") &amp; ") " &amp; IF(I8=TRUE, "✅", "❌"))</f>
        <v/>
      </c>
      <c r="K8" s="74"/>
      <c r="L8" s="74"/>
      <c r="M8" s="74"/>
      <c r="N8" s="74"/>
      <c r="O8" s="74"/>
      <c r="P8" s="74"/>
      <c r="Q8" s="74"/>
      <c r="R8" s="74"/>
      <c r="S8" s="74"/>
      <c r="T8" s="74"/>
      <c r="U8" s="74"/>
      <c r="V8" s="74"/>
      <c r="W8" s="74"/>
      <c r="X8" s="74"/>
      <c r="Y8" s="74"/>
      <c r="Z8" s="74"/>
      <c r="AA8" s="74"/>
    </row>
    <row r="9" ht="22.5" customHeight="1">
      <c r="A9" s="79"/>
      <c r="B9" s="66" t="s">
        <v>63</v>
      </c>
      <c r="C9" s="67">
        <v>16.95</v>
      </c>
      <c r="D9" s="80" t="s">
        <v>61</v>
      </c>
      <c r="E9" s="59">
        <f t="shared" si="1"/>
        <v>0</v>
      </c>
      <c r="F9" s="60">
        <f>IFERROR(ROUND(E9 / Bill_Summary_3[$ Subtotal], 4), 0)
</f>
        <v>0</v>
      </c>
      <c r="G9" s="59">
        <f>IFERROR(F9*(Bill_Summary_3[$ Tax]+Bill_Summary_3[$ Tip ]), 0)
</f>
        <v>0</v>
      </c>
      <c r="H9" s="59">
        <f t="shared" si="2"/>
        <v>0</v>
      </c>
      <c r="I9" s="61" t="b">
        <v>0</v>
      </c>
      <c r="J9" s="59" t="str">
        <f t="shared" si="3"/>
        <v/>
      </c>
      <c r="K9" s="74"/>
      <c r="L9" s="74"/>
      <c r="M9" s="74"/>
      <c r="N9" s="74"/>
      <c r="O9" s="74"/>
      <c r="P9" s="74"/>
      <c r="Q9" s="74"/>
      <c r="R9" s="74"/>
      <c r="S9" s="74"/>
      <c r="T9" s="74"/>
      <c r="U9" s="74"/>
      <c r="V9" s="74"/>
      <c r="W9" s="74"/>
      <c r="X9" s="74"/>
      <c r="Y9" s="74"/>
      <c r="Z9" s="74"/>
      <c r="AA9" s="74"/>
    </row>
    <row r="10" ht="22.5" customHeight="1">
      <c r="A10" s="65"/>
      <c r="B10" s="66" t="s">
        <v>64</v>
      </c>
      <c r="C10" s="67">
        <v>15.95</v>
      </c>
      <c r="D10" s="80" t="s">
        <v>61</v>
      </c>
      <c r="E10" s="59">
        <f t="shared" si="1"/>
        <v>0</v>
      </c>
      <c r="F10" s="60">
        <f>IFERROR(ROUND(E10 / Bill_Summary_3[$ Subtotal], 4), 0)
</f>
        <v>0</v>
      </c>
      <c r="G10" s="59">
        <f>IFERROR(F10*(Bill_Summary_3[$ Tax]+Bill_Summary_3[$ Tip ]), 0)
</f>
        <v>0</v>
      </c>
      <c r="H10" s="59">
        <f t="shared" si="2"/>
        <v>0</v>
      </c>
      <c r="I10" s="61" t="b">
        <v>0</v>
      </c>
      <c r="J10" s="59" t="str">
        <f t="shared" si="3"/>
        <v/>
      </c>
      <c r="K10" s="74"/>
      <c r="L10" s="74"/>
      <c r="M10" s="74"/>
      <c r="N10" s="74"/>
      <c r="O10" s="74"/>
      <c r="P10" s="74"/>
      <c r="Q10" s="74"/>
      <c r="R10" s="74"/>
      <c r="S10" s="74"/>
      <c r="T10" s="74"/>
      <c r="U10" s="74"/>
      <c r="V10" s="74"/>
      <c r="W10" s="74"/>
      <c r="X10" s="74"/>
      <c r="Y10" s="74"/>
      <c r="Z10" s="74"/>
      <c r="AA10" s="74"/>
    </row>
    <row r="11" ht="22.5" customHeight="1">
      <c r="A11" s="65"/>
      <c r="B11" s="66" t="s">
        <v>65</v>
      </c>
      <c r="C11" s="67">
        <v>14.95</v>
      </c>
      <c r="D11" s="68" t="s">
        <v>61</v>
      </c>
      <c r="E11" s="59">
        <f t="shared" si="1"/>
        <v>0</v>
      </c>
      <c r="F11" s="60">
        <f>IFERROR(ROUND(E11 / Bill_Summary_3[$ Subtotal], 4), 0)
</f>
        <v>0</v>
      </c>
      <c r="G11" s="59">
        <f>IFERROR(F11*(Bill_Summary_3[$ Tax]+Bill_Summary_3[$ Tip ]), 0)
</f>
        <v>0</v>
      </c>
      <c r="H11" s="59">
        <f t="shared" si="2"/>
        <v>0</v>
      </c>
      <c r="I11" s="63" t="b">
        <v>0</v>
      </c>
      <c r="J11" s="59" t="str">
        <f t="shared" si="3"/>
        <v/>
      </c>
      <c r="K11" s="74"/>
      <c r="L11" s="74"/>
      <c r="M11" s="74"/>
      <c r="N11" s="74"/>
      <c r="O11" s="74"/>
      <c r="P11" s="74"/>
      <c r="Q11" s="74"/>
      <c r="R11" s="74"/>
      <c r="S11" s="74"/>
      <c r="T11" s="74"/>
      <c r="U11" s="74"/>
      <c r="V11" s="74"/>
      <c r="W11" s="74"/>
      <c r="X11" s="74"/>
      <c r="Y11" s="74"/>
      <c r="Z11" s="74"/>
      <c r="AA11" s="74"/>
    </row>
    <row r="12" ht="22.5" customHeight="1">
      <c r="A12" s="65"/>
      <c r="B12" s="66" t="s">
        <v>66</v>
      </c>
      <c r="C12" s="67">
        <v>14.95</v>
      </c>
      <c r="D12" s="68" t="s">
        <v>61</v>
      </c>
      <c r="E12" s="59">
        <f t="shared" si="1"/>
        <v>0</v>
      </c>
      <c r="F12" s="60">
        <f>IFERROR(ROUND(E12 / Bill_Summary_3[$ Subtotal], 4), 0)
</f>
        <v>0</v>
      </c>
      <c r="G12" s="59">
        <f>IFERROR(F12*(Bill_Summary_3[$ Tax]+Bill_Summary_3[$ Tip ]), 0)
</f>
        <v>0</v>
      </c>
      <c r="H12" s="59">
        <f t="shared" si="2"/>
        <v>0</v>
      </c>
      <c r="I12" s="63" t="b">
        <v>0</v>
      </c>
      <c r="J12" s="59" t="str">
        <f t="shared" si="3"/>
        <v/>
      </c>
      <c r="K12" s="74"/>
      <c r="L12" s="74"/>
      <c r="M12" s="74"/>
      <c r="N12" s="74"/>
      <c r="O12" s="74"/>
      <c r="P12" s="74"/>
      <c r="Q12" s="74"/>
      <c r="R12" s="74"/>
      <c r="S12" s="74"/>
      <c r="T12" s="74"/>
      <c r="U12" s="74"/>
      <c r="V12" s="74"/>
      <c r="W12" s="74"/>
      <c r="X12" s="74"/>
      <c r="Y12" s="74"/>
      <c r="Z12" s="74"/>
      <c r="AA12" s="74"/>
    </row>
    <row r="13" ht="22.5" customHeight="1">
      <c r="A13" s="62"/>
      <c r="B13" s="66" t="s">
        <v>67</v>
      </c>
      <c r="C13" s="67">
        <v>16.95</v>
      </c>
      <c r="D13" s="68" t="s">
        <v>61</v>
      </c>
      <c r="E13" s="59">
        <f t="shared" si="1"/>
        <v>0</v>
      </c>
      <c r="F13" s="60">
        <f>IFERROR(ROUND(E13 / Bill_Summary_3[$ Subtotal], 4), 0)
</f>
        <v>0</v>
      </c>
      <c r="G13" s="59">
        <f>IFERROR(F13*(Bill_Summary_3[$ Tax]+Bill_Summary_3[$ Tip ]), 0)
</f>
        <v>0</v>
      </c>
      <c r="H13" s="59">
        <f t="shared" si="2"/>
        <v>0</v>
      </c>
      <c r="I13" s="63" t="b">
        <v>0</v>
      </c>
      <c r="J13" s="59" t="str">
        <f t="shared" si="3"/>
        <v/>
      </c>
      <c r="K13" s="74"/>
      <c r="L13" s="74"/>
      <c r="M13" s="74"/>
      <c r="N13" s="74"/>
      <c r="O13" s="74"/>
      <c r="P13" s="74"/>
      <c r="Q13" s="74"/>
      <c r="R13" s="74"/>
      <c r="S13" s="74"/>
      <c r="T13" s="74"/>
      <c r="U13" s="74"/>
      <c r="V13" s="74"/>
      <c r="W13" s="74"/>
      <c r="X13" s="74"/>
      <c r="Y13" s="74"/>
      <c r="Z13" s="74"/>
      <c r="AA13" s="74"/>
    </row>
    <row r="14" ht="22.5" customHeight="1">
      <c r="A14" s="62"/>
      <c r="B14" s="66" t="s">
        <v>68</v>
      </c>
      <c r="C14" s="67">
        <v>12.5</v>
      </c>
      <c r="D14" s="68" t="s">
        <v>61</v>
      </c>
      <c r="E14" s="59">
        <f t="shared" si="1"/>
        <v>0</v>
      </c>
      <c r="F14" s="60">
        <f>IFERROR(ROUND(E14 / Bill_Summary_3[$ Subtotal], 4), 0)
</f>
        <v>0</v>
      </c>
      <c r="G14" s="59">
        <f>IFERROR(F14*(Bill_Summary_3[$ Tax]+Bill_Summary_3[$ Tip ]), 0)
</f>
        <v>0</v>
      </c>
      <c r="H14" s="59">
        <f t="shared" si="2"/>
        <v>0</v>
      </c>
      <c r="I14" s="63" t="b">
        <v>0</v>
      </c>
      <c r="J14" s="59" t="str">
        <f t="shared" si="3"/>
        <v/>
      </c>
      <c r="K14" s="74"/>
      <c r="L14" s="74"/>
      <c r="M14" s="74"/>
      <c r="N14" s="74"/>
      <c r="O14" s="74"/>
      <c r="P14" s="74"/>
      <c r="Q14" s="74"/>
      <c r="R14" s="74"/>
      <c r="S14" s="74"/>
      <c r="T14" s="74"/>
      <c r="U14" s="74"/>
      <c r="V14" s="74"/>
      <c r="W14" s="74"/>
      <c r="X14" s="74"/>
      <c r="Y14" s="74"/>
      <c r="Z14" s="74"/>
      <c r="AA14" s="74"/>
    </row>
    <row r="15" ht="22.5" customHeight="1">
      <c r="A15" s="65" t="s">
        <v>69</v>
      </c>
      <c r="B15" s="66" t="s">
        <v>70</v>
      </c>
      <c r="C15" s="67">
        <v>4.5</v>
      </c>
      <c r="D15" s="68" t="s">
        <v>45</v>
      </c>
      <c r="E15" s="59">
        <f t="shared" si="1"/>
        <v>19.275</v>
      </c>
      <c r="F15" s="60">
        <f>IFERROR(ROUND(E15 / Bill_Summary_3[$ Subtotal], 4), 0)
</f>
        <v>0.1509</v>
      </c>
      <c r="G15" s="59">
        <f>IFERROR(F15*(Bill_Summary_3[$ Tax]+Bill_Summary_3[$ Tip ]), 0)
</f>
        <v>4.940466</v>
      </c>
      <c r="H15" s="59">
        <f t="shared" si="2"/>
        <v>24.215466</v>
      </c>
      <c r="I15" s="63" t="b">
        <v>0</v>
      </c>
      <c r="J15" s="59" t="str">
        <f t="shared" si="3"/>
        <v>Michael (YoyoMa) ($24.22) ❌</v>
      </c>
      <c r="K15" s="74"/>
      <c r="L15" s="74"/>
      <c r="M15" s="74"/>
      <c r="N15" s="74"/>
      <c r="O15" s="74"/>
      <c r="P15" s="74"/>
      <c r="Q15" s="74"/>
      <c r="R15" s="74"/>
      <c r="S15" s="74"/>
      <c r="T15" s="74"/>
      <c r="U15" s="74"/>
      <c r="V15" s="74"/>
      <c r="W15" s="74"/>
      <c r="X15" s="74"/>
      <c r="Y15" s="74"/>
      <c r="Z15" s="74"/>
      <c r="AA15" s="74"/>
    </row>
    <row r="16" ht="22.5" customHeight="1">
      <c r="A16" s="65" t="s">
        <v>71</v>
      </c>
      <c r="B16" s="66" t="s">
        <v>72</v>
      </c>
      <c r="C16" s="67">
        <v>5.0</v>
      </c>
      <c r="D16" s="68" t="s">
        <v>45</v>
      </c>
      <c r="E16" s="59">
        <f t="shared" si="1"/>
        <v>19.775</v>
      </c>
      <c r="F16" s="60">
        <f>IFERROR(ROUND(E16 / Bill_Summary_3[$ Subtotal], 4), 0)
</f>
        <v>0.1549</v>
      </c>
      <c r="G16" s="59">
        <f>IFERROR(F16*(Bill_Summary_3[$ Tax]+Bill_Summary_3[$ Tip ]), 0)
</f>
        <v>5.071426</v>
      </c>
      <c r="H16" s="59">
        <f t="shared" si="2"/>
        <v>24.846426</v>
      </c>
      <c r="I16" s="61" t="b">
        <v>1</v>
      </c>
      <c r="J16" s="59" t="str">
        <f t="shared" si="3"/>
        <v>Michael ($24.85) ✅</v>
      </c>
      <c r="K16" s="74"/>
      <c r="L16" s="74"/>
      <c r="M16" s="74"/>
      <c r="N16" s="74"/>
      <c r="O16" s="74"/>
      <c r="P16" s="74"/>
      <c r="Q16" s="74"/>
      <c r="R16" s="74"/>
      <c r="S16" s="74"/>
      <c r="T16" s="74"/>
      <c r="U16" s="74"/>
      <c r="V16" s="74"/>
      <c r="W16" s="74"/>
      <c r="X16" s="74"/>
      <c r="Y16" s="74"/>
      <c r="Z16" s="74"/>
      <c r="AA16" s="74"/>
    </row>
    <row r="17" ht="22.5" customHeight="1">
      <c r="A17" s="65" t="s">
        <v>73</v>
      </c>
      <c r="B17" s="66"/>
      <c r="C17" s="67"/>
      <c r="D17" s="68" t="s">
        <v>45</v>
      </c>
      <c r="E17" s="59">
        <f t="shared" si="1"/>
        <v>14.775</v>
      </c>
      <c r="F17" s="60">
        <f>IFERROR(ROUND(E17 / Bill_Summary_3[$ Subtotal], 4), 0)
</f>
        <v>0.1157</v>
      </c>
      <c r="G17" s="59">
        <f>IFERROR(F17*(Bill_Summary_3[$ Tax]+Bill_Summary_3[$ Tip ]), 0)
</f>
        <v>3.788018</v>
      </c>
      <c r="H17" s="59">
        <f t="shared" si="2"/>
        <v>18.563018</v>
      </c>
      <c r="I17" s="61" t="b">
        <v>0</v>
      </c>
      <c r="J17" s="59" t="str">
        <f t="shared" si="3"/>
        <v>Kelly Li ($18.56) ❌</v>
      </c>
      <c r="K17" s="74"/>
      <c r="L17" s="74"/>
      <c r="M17" s="74"/>
      <c r="N17" s="74"/>
      <c r="O17" s="74"/>
      <c r="P17" s="74"/>
      <c r="Q17" s="74"/>
      <c r="R17" s="74"/>
      <c r="S17" s="74"/>
      <c r="T17" s="74"/>
      <c r="U17" s="74"/>
      <c r="V17" s="74"/>
      <c r="W17" s="74"/>
      <c r="X17" s="74"/>
      <c r="Y17" s="74"/>
      <c r="Z17" s="74"/>
      <c r="AA17" s="74"/>
    </row>
    <row r="18" ht="22.5" customHeight="1">
      <c r="A18" s="65" t="s">
        <v>74</v>
      </c>
      <c r="B18" s="56"/>
      <c r="C18" s="57"/>
      <c r="D18" s="68" t="s">
        <v>45</v>
      </c>
      <c r="E18" s="59">
        <f t="shared" si="1"/>
        <v>14.775</v>
      </c>
      <c r="F18" s="60">
        <f>IFERROR(ROUND(E18 / Bill_Summary_3[$ Subtotal], 4), 0)
</f>
        <v>0.1157</v>
      </c>
      <c r="G18" s="59">
        <f>IFERROR(F18*(Bill_Summary_3[$ Tax]+Bill_Summary_3[$ Tip ]), 0)
</f>
        <v>3.788018</v>
      </c>
      <c r="H18" s="59">
        <f t="shared" si="2"/>
        <v>18.563018</v>
      </c>
      <c r="I18" s="63" t="b">
        <v>0</v>
      </c>
      <c r="J18" s="59" t="str">
        <f t="shared" si="3"/>
        <v>Kelly Deng ($18.56) ❌</v>
      </c>
      <c r="K18" s="74"/>
      <c r="L18" s="74"/>
      <c r="M18" s="74"/>
      <c r="N18" s="74"/>
      <c r="O18" s="74"/>
      <c r="P18" s="74"/>
      <c r="Q18" s="74"/>
      <c r="R18" s="74"/>
      <c r="S18" s="74"/>
      <c r="T18" s="74"/>
      <c r="U18" s="74"/>
      <c r="V18" s="74"/>
      <c r="W18" s="74"/>
      <c r="X18" s="74"/>
      <c r="Y18" s="74"/>
      <c r="Z18" s="74"/>
      <c r="AA18" s="74"/>
    </row>
    <row r="19" ht="22.5" customHeight="1">
      <c r="A19" s="65" t="s">
        <v>75</v>
      </c>
      <c r="B19" s="56"/>
      <c r="C19" s="57"/>
      <c r="D19" s="68" t="s">
        <v>45</v>
      </c>
      <c r="E19" s="59">
        <f t="shared" si="1"/>
        <v>14.775</v>
      </c>
      <c r="F19" s="60">
        <f>IFERROR(ROUND(E19 / Bill_Summary_3[$ Subtotal], 4), 0)
</f>
        <v>0.1157</v>
      </c>
      <c r="G19" s="59">
        <f>IFERROR(F19*(Bill_Summary_3[$ Tax]+Bill_Summary_3[$ Tip ]), 0)
</f>
        <v>3.788018</v>
      </c>
      <c r="H19" s="59">
        <f t="shared" si="2"/>
        <v>18.563018</v>
      </c>
      <c r="I19" s="61" t="b">
        <v>1</v>
      </c>
      <c r="J19" s="59" t="str">
        <f t="shared" si="3"/>
        <v>Abigail ($18.56) ✅</v>
      </c>
      <c r="K19" s="74"/>
      <c r="L19" s="74"/>
      <c r="M19" s="74"/>
      <c r="N19" s="74"/>
      <c r="O19" s="74"/>
      <c r="P19" s="74"/>
      <c r="Q19" s="74"/>
      <c r="R19" s="74"/>
      <c r="S19" s="74"/>
      <c r="T19" s="74"/>
      <c r="U19" s="74"/>
      <c r="V19" s="74"/>
      <c r="W19" s="74"/>
      <c r="X19" s="74"/>
      <c r="Y19" s="74"/>
      <c r="Z19" s="74"/>
      <c r="AA19" s="74"/>
    </row>
    <row r="20" ht="22.5" customHeight="1">
      <c r="A20" s="65" t="s">
        <v>76</v>
      </c>
      <c r="B20" s="56"/>
      <c r="C20" s="57"/>
      <c r="D20" s="68" t="s">
        <v>45</v>
      </c>
      <c r="E20" s="59">
        <f t="shared" si="1"/>
        <v>14.775</v>
      </c>
      <c r="F20" s="60">
        <f>IFERROR(ROUND(E20 / Bill_Summary_3[$ Subtotal], 4), 0)
</f>
        <v>0.1157</v>
      </c>
      <c r="G20" s="59">
        <f>IFERROR(F20*(Bill_Summary_3[$ Tax]+Bill_Summary_3[$ Tip ]), 0)
</f>
        <v>3.788018</v>
      </c>
      <c r="H20" s="59">
        <f t="shared" si="2"/>
        <v>18.563018</v>
      </c>
      <c r="I20" s="63" t="b">
        <v>0</v>
      </c>
      <c r="J20" s="59" t="str">
        <f t="shared" si="3"/>
        <v>Miwa ($18.56) ❌</v>
      </c>
      <c r="K20" s="74"/>
      <c r="L20" s="74"/>
      <c r="M20" s="74"/>
      <c r="N20" s="74"/>
      <c r="O20" s="74"/>
      <c r="P20" s="74"/>
      <c r="Q20" s="74"/>
      <c r="R20" s="74"/>
      <c r="S20" s="74"/>
      <c r="T20" s="74"/>
      <c r="U20" s="74"/>
      <c r="V20" s="74"/>
      <c r="W20" s="74"/>
      <c r="X20" s="74"/>
      <c r="Y20" s="74"/>
      <c r="Z20" s="74"/>
      <c r="AA20" s="74"/>
    </row>
    <row r="21" ht="22.5" customHeight="1">
      <c r="A21" s="65" t="s">
        <v>77</v>
      </c>
      <c r="B21" s="56"/>
      <c r="C21" s="57"/>
      <c r="D21" s="68" t="s">
        <v>45</v>
      </c>
      <c r="E21" s="59">
        <f t="shared" si="1"/>
        <v>14.775</v>
      </c>
      <c r="F21" s="60">
        <f>IFERROR(ROUND(E21 / Bill_Summary_3[$ Subtotal], 4), 0)
</f>
        <v>0.1157</v>
      </c>
      <c r="G21" s="59">
        <f>IFERROR(F21*(Bill_Summary_3[$ Tax]+Bill_Summary_3[$ Tip ]), 0)
</f>
        <v>3.788018</v>
      </c>
      <c r="H21" s="59">
        <f t="shared" si="2"/>
        <v>18.563018</v>
      </c>
      <c r="I21" s="61" t="b">
        <v>1</v>
      </c>
      <c r="J21" s="59" t="str">
        <f t="shared" si="3"/>
        <v>Miguel ($18.56) ✅</v>
      </c>
      <c r="K21" s="74"/>
      <c r="L21" s="74"/>
      <c r="M21" s="74"/>
      <c r="N21" s="74"/>
      <c r="O21" s="74"/>
      <c r="P21" s="74"/>
      <c r="Q21" s="74"/>
      <c r="R21" s="74"/>
      <c r="S21" s="74"/>
      <c r="T21" s="74"/>
      <c r="U21" s="74"/>
      <c r="V21" s="74"/>
      <c r="W21" s="74"/>
      <c r="X21" s="74"/>
      <c r="Y21" s="74"/>
      <c r="Z21" s="74"/>
      <c r="AA21" s="74"/>
    </row>
    <row r="22" ht="22.5" customHeight="1">
      <c r="A22" s="65" t="s">
        <v>43</v>
      </c>
      <c r="B22" s="56"/>
      <c r="C22" s="57"/>
      <c r="D22" s="68" t="s">
        <v>45</v>
      </c>
      <c r="E22" s="59">
        <f t="shared" si="1"/>
        <v>14.775</v>
      </c>
      <c r="F22" s="60">
        <f>IFERROR(ROUND(E22 / Bill_Summary_3[$ Subtotal], 4), 0)
</f>
        <v>0.1157</v>
      </c>
      <c r="G22" s="59">
        <f>IFERROR(F22*(Bill_Summary_3[$ Tax]+Bill_Summary_3[$ Tip ]), 0)
</f>
        <v>3.788018</v>
      </c>
      <c r="H22" s="59">
        <f t="shared" si="2"/>
        <v>18.563018</v>
      </c>
      <c r="I22" s="61" t="b">
        <v>1</v>
      </c>
      <c r="J22" s="59" t="str">
        <f t="shared" si="3"/>
        <v>Matt ($18.56) ✅</v>
      </c>
      <c r="K22" s="74"/>
      <c r="L22" s="74"/>
      <c r="M22" s="74"/>
      <c r="N22" s="74"/>
      <c r="O22" s="74"/>
      <c r="P22" s="74"/>
      <c r="Q22" s="74"/>
      <c r="R22" s="74"/>
      <c r="S22" s="74"/>
      <c r="T22" s="74"/>
      <c r="U22" s="74"/>
      <c r="V22" s="74"/>
      <c r="W22" s="74"/>
      <c r="X22" s="74"/>
      <c r="Y22" s="74"/>
      <c r="Z22" s="74"/>
      <c r="AA22" s="74"/>
    </row>
    <row r="23" ht="22.5" customHeight="1">
      <c r="A23" s="62"/>
      <c r="B23" s="56"/>
      <c r="C23" s="57"/>
      <c r="D23" s="64" t="s">
        <v>50</v>
      </c>
      <c r="E23" s="59">
        <f t="shared" si="1"/>
        <v>0</v>
      </c>
      <c r="F23" s="60">
        <f>IFERROR(ROUND(E23 / Bill_Summary_3[$ Subtotal], 4), 0)
</f>
        <v>0</v>
      </c>
      <c r="G23" s="59">
        <f>IFERROR(F23*(Bill_Summary_3[$ Tax]+Bill_Summary_3[$ Tip ]), 0)
</f>
        <v>0</v>
      </c>
      <c r="H23" s="59">
        <f t="shared" si="2"/>
        <v>0</v>
      </c>
      <c r="I23" s="63" t="b">
        <v>0</v>
      </c>
      <c r="J23" s="59" t="str">
        <f t="shared" si="3"/>
        <v/>
      </c>
      <c r="K23" s="74"/>
      <c r="L23" s="74"/>
      <c r="M23" s="74"/>
      <c r="N23" s="74"/>
      <c r="O23" s="74"/>
      <c r="P23" s="74"/>
      <c r="Q23" s="74"/>
      <c r="R23" s="74"/>
      <c r="S23" s="74"/>
      <c r="T23" s="74"/>
      <c r="U23" s="74"/>
      <c r="V23" s="74"/>
      <c r="W23" s="74"/>
      <c r="X23" s="74"/>
      <c r="Y23" s="74"/>
      <c r="Z23" s="74"/>
      <c r="AA23" s="74"/>
    </row>
    <row r="24" ht="22.5" customHeight="1">
      <c r="A24" s="62"/>
      <c r="B24" s="56"/>
      <c r="C24" s="57"/>
      <c r="D24" s="64" t="s">
        <v>50</v>
      </c>
      <c r="E24" s="59">
        <f t="shared" si="1"/>
        <v>0</v>
      </c>
      <c r="F24" s="60">
        <f>IFERROR(ROUND(E24 / Bill_Summary_3[$ Subtotal], 4), 0)
</f>
        <v>0</v>
      </c>
      <c r="G24" s="59">
        <f>IFERROR(F24*(Bill_Summary_3[$ Tax]+Bill_Summary_3[$ Tip ]), 0)
</f>
        <v>0</v>
      </c>
      <c r="H24" s="59">
        <f t="shared" si="2"/>
        <v>0</v>
      </c>
      <c r="I24" s="63" t="b">
        <v>0</v>
      </c>
      <c r="J24" s="59" t="str">
        <f t="shared" si="3"/>
        <v/>
      </c>
      <c r="K24" s="74"/>
      <c r="L24" s="74"/>
      <c r="M24" s="74"/>
      <c r="N24" s="74"/>
      <c r="O24" s="74"/>
      <c r="P24" s="74"/>
      <c r="Q24" s="74"/>
      <c r="R24" s="74"/>
      <c r="S24" s="74"/>
      <c r="T24" s="74"/>
      <c r="U24" s="74"/>
      <c r="V24" s="74"/>
      <c r="W24" s="74"/>
      <c r="X24" s="74"/>
      <c r="Y24" s="74"/>
      <c r="Z24" s="74"/>
      <c r="AA24" s="74"/>
    </row>
    <row r="25" ht="22.5" customHeight="1">
      <c r="A25" s="62"/>
      <c r="B25" s="56"/>
      <c r="C25" s="57"/>
      <c r="D25" s="64" t="s">
        <v>50</v>
      </c>
      <c r="E25" s="59">
        <f t="shared" si="1"/>
        <v>0</v>
      </c>
      <c r="F25" s="60">
        <f>IFERROR(ROUND(E25 / Bill_Summary_3[$ Subtotal], 4), 0)
</f>
        <v>0</v>
      </c>
      <c r="G25" s="59">
        <f>IFERROR(F25*(Bill_Summary_3[$ Tax]+Bill_Summary_3[$ Tip ]), 0)
</f>
        <v>0</v>
      </c>
      <c r="H25" s="59">
        <f t="shared" si="2"/>
        <v>0</v>
      </c>
      <c r="I25" s="63" t="b">
        <v>0</v>
      </c>
      <c r="J25" s="59" t="str">
        <f t="shared" si="3"/>
        <v/>
      </c>
      <c r="K25" s="74"/>
      <c r="L25" s="74"/>
      <c r="M25" s="74"/>
      <c r="N25" s="74"/>
      <c r="O25" s="74"/>
      <c r="P25" s="74"/>
      <c r="Q25" s="74"/>
      <c r="R25" s="74"/>
      <c r="S25" s="74"/>
      <c r="T25" s="74"/>
      <c r="U25" s="74"/>
      <c r="V25" s="74"/>
      <c r="W25" s="74"/>
      <c r="X25" s="74"/>
      <c r="Y25" s="74"/>
      <c r="Z25" s="74"/>
      <c r="AA25" s="74"/>
    </row>
    <row r="26" ht="22.5" customHeight="1">
      <c r="A26" s="62"/>
      <c r="B26" s="56"/>
      <c r="C26" s="57"/>
      <c r="D26" s="64" t="s">
        <v>50</v>
      </c>
      <c r="E26" s="59">
        <f t="shared" si="1"/>
        <v>0</v>
      </c>
      <c r="F26" s="60">
        <f>IFERROR(ROUND(E26 / Bill_Summary_3[$ Subtotal], 4), 0)
</f>
        <v>0</v>
      </c>
      <c r="G26" s="59">
        <f>IFERROR(F26*(Bill_Summary_3[$ Tax]+Bill_Summary_3[$ Tip ]), 0)
</f>
        <v>0</v>
      </c>
      <c r="H26" s="59">
        <f t="shared" si="2"/>
        <v>0</v>
      </c>
      <c r="I26" s="63" t="b">
        <v>0</v>
      </c>
      <c r="J26" s="59" t="str">
        <f t="shared" si="3"/>
        <v/>
      </c>
      <c r="K26" s="74"/>
      <c r="L26" s="74"/>
      <c r="M26" s="74"/>
      <c r="N26" s="74"/>
      <c r="O26" s="74"/>
      <c r="P26" s="74"/>
      <c r="Q26" s="74"/>
      <c r="R26" s="74"/>
      <c r="S26" s="74"/>
      <c r="T26" s="74"/>
      <c r="U26" s="74"/>
      <c r="V26" s="74"/>
      <c r="W26" s="74"/>
      <c r="X26" s="74"/>
      <c r="Y26" s="74"/>
      <c r="Z26" s="74"/>
      <c r="AA26" s="74"/>
    </row>
    <row r="27" ht="22.5" customHeight="1">
      <c r="A27" s="69"/>
      <c r="B27" s="70"/>
      <c r="C27" s="71"/>
      <c r="D27" s="72" t="s">
        <v>50</v>
      </c>
      <c r="E27" s="59">
        <f t="shared" si="1"/>
        <v>0</v>
      </c>
      <c r="F27" s="60">
        <f>IFERROR(ROUND(E27 / Bill_Summary_3[$ Subtotal], 4), 0)
</f>
        <v>0</v>
      </c>
      <c r="G27" s="59">
        <f>IFERROR(F27*(Bill_Summary_3[$ Tax]+Bill_Summary_3[$ Tip ]), 0)
</f>
        <v>0</v>
      </c>
      <c r="H27" s="59">
        <f t="shared" si="2"/>
        <v>0</v>
      </c>
      <c r="I27" s="73" t="b">
        <v>0</v>
      </c>
      <c r="J27" s="59" t="str">
        <f t="shared" si="3"/>
        <v/>
      </c>
      <c r="K27" s="74"/>
      <c r="L27" s="74"/>
      <c r="M27" s="74"/>
      <c r="N27" s="74"/>
      <c r="O27" s="74"/>
      <c r="P27" s="74"/>
      <c r="Q27" s="74"/>
      <c r="R27" s="74"/>
      <c r="S27" s="74"/>
      <c r="T27" s="74"/>
      <c r="U27" s="74"/>
      <c r="V27" s="74"/>
      <c r="W27" s="74"/>
      <c r="X27" s="74"/>
      <c r="Y27" s="74"/>
      <c r="Z27" s="74"/>
      <c r="AA27" s="74"/>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row>
  </sheetData>
  <mergeCells count="6">
    <mergeCell ref="A1:J1"/>
    <mergeCell ref="F2:J2"/>
    <mergeCell ref="F3:J3"/>
    <mergeCell ref="F4:J4"/>
    <mergeCell ref="F5:J5"/>
    <mergeCell ref="A2:A5"/>
  </mergeCells>
  <conditionalFormatting sqref="J8:J22">
    <cfRule type="expression" dxfId="7" priority="1">
      <formula>AND(I8=FALSE,E8&lt;&gt;0)</formula>
    </cfRule>
  </conditionalFormatting>
  <dataValidations>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