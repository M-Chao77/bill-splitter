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Example" sheetId="2" r:id="rId6"/>
    <sheet state="visible" name="DUPLICATE THIS" sheetId="3" r:id="rId7"/>
    <sheet state="visible" name="Tims kitchen 6526" sheetId="4" r:id="rId8"/>
    <sheet state="visible" name="L&amp;L 52526" sheetId="5" r:id="rId9"/>
    <sheet state="visible" name="Tims Kitchen 51626" sheetId="6" r:id="rId10"/>
    <sheet state="visible" name="Sunny Tacos" sheetId="7" r:id="rId11"/>
    <sheet state="visible" name="taco truck (not truck)" sheetId="8" r:id="rId12"/>
    <sheet state="visible" name="FISHIES Seafood Boil" sheetId="9" r:id="rId13"/>
    <sheet state="visible" name="Tasty Kitchen 41825" sheetId="10" r:id="rId14"/>
    <sheet state="visible" name="Chilis 572026" sheetId="11" r:id="rId15"/>
    <sheet state="visible" name="Seoul Haus 41126" sheetId="12" r:id="rId16"/>
    <sheet state="visible" name="Costco Haul 426" sheetId="13" r:id="rId17"/>
  </sheets>
  <definedNames>
    <definedName localSheetId="10" name="Payment_Status">'Chilis 572026'!$J$8:$J$17</definedName>
    <definedName localSheetId="4" name="Payment_Status">'L&amp;L 52526'!$J$8:$J$17</definedName>
    <definedName localSheetId="6" name="Payment_Status">'Sunny Tacos'!$J$8:$J$17</definedName>
    <definedName localSheetId="9" name="Payment_Status">'Tasty Kitchen 41825'!$J$8:$J$19</definedName>
    <definedName localSheetId="11" name="Payment_Status">'Seoul Haus 41126'!$J$8:$J$17</definedName>
    <definedName localSheetId="2" name="Payment_Status">'DUPLICATE THIS'!$J$8:$J$17</definedName>
    <definedName localSheetId="7" name="Payment_Status">'taco truck (not truck)'!$J$8:$J$17</definedName>
    <definedName localSheetId="3" name="Payment_Status">'Tims kitchen 6526'!$J$8:$J$17</definedName>
    <definedName localSheetId="8" name="Payment_Status">'FISHIES Seafood Boil'!$J$8:$J$17</definedName>
    <definedName localSheetId="5" name="Payment_Status">'Tims Kitchen 51626'!$J$8:$J$17</definedName>
    <definedName localSheetId="12" name="Payment_Status">'Costco Haul 426'!$J$8:$J$17</definedName>
    <definedName name="Payment_Status">Example!$J$8:$J$19</definedName>
  </definedNames>
  <calcPr/>
</workbook>
</file>

<file path=xl/sharedStrings.xml><?xml version="1.0" encoding="utf-8"?>
<sst xmlns="http://schemas.openxmlformats.org/spreadsheetml/2006/main" count="588" uniqueCount="142">
  <si>
    <t>Bill Splitter</t>
  </si>
  <si>
    <t>An unofficial Google Sheets tool for splitting restaurant bills fairly, including shared dishes, treated items, tax, tip, and payment tracking.</t>
  </si>
  <si>
    <t>Version 2.0 | Last updated: July 2026 | Created by Matthew Chao</t>
  </si>
  <si>
    <t>Project Overview</t>
  </si>
  <si>
    <t>The Bill Splitter is an interactive Google Sheets tool designed to divide a restaurant bill among multiple people. It calculates each person’s share based on the food they ordered, shared appetizers, treated meals, tax, and tip.
The spreadsheet also includes payment checkboxes and automatically generated payment-status messages, making it easier to track who has paid and how much each person owes.</t>
  </si>
  <si>
    <t>How to Use the Bill Splitter</t>
  </si>
  <si>
    <r>
      <rPr>
        <rFont val="Lexend"/>
        <b/>
        <color theme="1"/>
        <sz val="11.0"/>
      </rPr>
      <t xml:space="preserve">1. Enter the bill totals
</t>
    </r>
    <r>
      <rPr>
        <rFont val="Lexend"/>
        <color theme="1"/>
        <sz val="11.0"/>
      </rPr>
      <t xml:space="preserve">-Change the beige cells in the Totals section:
-Tax Amount: Enter the total tax shown on the receipt.
-Tip Amount: Enter the total tip.
-Subtotal: Enter the subtotal before tax and tip.
-Grand Total: Enter the final bill total.
</t>
    </r>
    <r>
      <rPr>
        <rFont val="Lexend"/>
        <color rgb="FF666666"/>
        <sz val="8.0"/>
      </rPr>
      <t xml:space="preserve">*The percentages underneath the tax and tip amounts are calculated automatically.
</t>
    </r>
    <r>
      <rPr>
        <rFont val="Lexend"/>
        <color theme="1"/>
        <sz val="11.0"/>
      </rPr>
      <t xml:space="preserve">
</t>
    </r>
    <r>
      <rPr>
        <rFont val="Lexend"/>
        <b/>
        <color theme="1"/>
        <sz val="11.0"/>
      </rPr>
      <t xml:space="preserve">2. Enter each item
</t>
    </r>
    <r>
      <rPr>
        <rFont val="Lexend"/>
        <color theme="1"/>
        <sz val="11.0"/>
      </rPr>
      <t xml:space="preserve">
In the Food Ordered section, enter:
-The person’s name
-The dish or item ordered
-The item’s price
-The appropriate option from the Split? dropdown
</t>
    </r>
    <r>
      <rPr>
        <rFont val="Lexend"/>
        <b/>
        <color theme="1"/>
        <sz val="11.0"/>
      </rPr>
      <t xml:space="preserve">3. Select how each item should be divided
</t>
    </r>
    <r>
      <rPr>
        <rFont val="Lexend"/>
        <color theme="1"/>
        <sz val="11.0"/>
      </rPr>
      <t xml:space="preserve">
Use the dropdown in the Split? column:
-Solo: The full price is assigned to the person listed in that row.
-Treated: The listed person is not charged, and the item is divided among the other diners.
-Appetizer: The item is shared evenly among the participating diners.
-N/A: The row is excluded from the calculations.
</t>
    </r>
    <r>
      <rPr>
        <rFont val="Lexend"/>
        <b/>
        <color theme="1"/>
        <sz val="11.0"/>
      </rPr>
      <t xml:space="preserve">4. Track payments
</t>
    </r>
    <r>
      <rPr>
        <rFont val="Lexend"/>
        <color theme="1"/>
        <sz val="11.0"/>
      </rPr>
      <t xml:space="preserve">
Check the box in the Paid? column after someone has paid their portion.
The Payment Status column will display:
-The person’s name
-The amount they owe
-A check mark when paid
-An X when payment is still outstanding</t>
    </r>
  </si>
  <si>
    <t>Reading the Bill Splitter</t>
  </si>
  <si>
    <t>Indicator</t>
  </si>
  <si>
    <t>Meaning</t>
  </si>
  <si>
    <t>Beige Cells</t>
  </si>
  <si>
    <t>Where user inputs information</t>
  </si>
  <si>
    <t>Personal Subtotal</t>
  </si>
  <si>
    <t>No units from the course are assigned to that category.</t>
  </si>
  <si>
    <t>Tax/Tip Percentage</t>
  </si>
  <si>
    <t>The percentage of the food subtotal belonging to that person</t>
  </si>
  <si>
    <t>Tax/Tip Cost</t>
  </si>
  <si>
    <t>The person’s calculated portion of the combined tax and tip.</t>
  </si>
  <si>
    <t>Total</t>
  </si>
  <si>
    <t>The final amount the person owes, including their food subtotal, tax, and tip.</t>
  </si>
  <si>
    <t>Payment Status</t>
  </si>
  <si>
    <t>A visual summary showing whether the person has paid their calculated total.</t>
  </si>
  <si>
    <t>Project Features</t>
  </si>
  <si>
    <t xml:space="preserve">• Automatically calculates each person’s individual subtotal
• Supports individual, shared, and treated items
• Divides tax and tip proportionally instead of equally
• Uses dropdown menus to reduce manual-entry errors
• Tracks completed and outstanding payments with checkboxes
• Automatically generates readable payment-status messages
• Includes conditional formatting for quick visual feedback
• Updates calculations as bill information is changed
</t>
  </si>
  <si>
    <t>Accessibility Considerations</t>
  </si>
  <si>
    <t>The spreadsheet uses both color and written labels to communicate information. Payment status is shown through text and symbols rather than color alone.
Input cells are visually separated from calculated cells so users can more easily identify which areas should be edited. Consistent headers, currency formatting, and dropdown options also make the spreadsheet easier to navigate.</t>
  </si>
  <si>
    <t>About the Project</t>
  </si>
  <si>
    <t>I created this project after my friend group split tax/tip costs evenly and one of my friends had to pay more for tax/tip than his actual meal price.
Bill Splitter is meant to simplify the process of dividing restaurant bills when people order items with different prices, share food, or treat another person.
The project demonstrates how spreadsheet formulas and interface design can be combined to transform a repetitive calculation into a practical, user-friendly tool.</t>
  </si>
  <si>
    <t>The Bill Splitter© v.2 
(EXAMPLE)</t>
  </si>
  <si>
    <t>By: Bubby</t>
  </si>
  <si>
    <t>Change beige cells</t>
  </si>
  <si>
    <t>$ Tax Amount</t>
  </si>
  <si>
    <t>$ Tip Amount</t>
  </si>
  <si>
    <t>$ Subtotal</t>
  </si>
  <si>
    <t>$ Grand Total</t>
  </si>
  <si>
    <t>START HERE ➙</t>
  </si>
  <si>
    <t>Then go HERE ➘</t>
  </si>
  <si>
    <t>Name</t>
  </si>
  <si>
    <t>Dish</t>
  </si>
  <si>
    <t>$ Dish Price</t>
  </si>
  <si>
    <t>Split?</t>
  </si>
  <si>
    <t>Paid?</t>
  </si>
  <si>
    <t>Matt</t>
  </si>
  <si>
    <t>Fettccine Arrostiti</t>
  </si>
  <si>
    <t>Solo</t>
  </si>
  <si>
    <t>Miggy</t>
  </si>
  <si>
    <t>Spaghetti Carbonara</t>
  </si>
  <si>
    <t>Sean</t>
  </si>
  <si>
    <t>Spaghetti Parmesano</t>
  </si>
  <si>
    <t>Lennis</t>
  </si>
  <si>
    <t>Spaghetti &amp; Meatballs</t>
  </si>
  <si>
    <t>Treated</t>
  </si>
  <si>
    <t>Pizza</t>
  </si>
  <si>
    <t>Margherita</t>
  </si>
  <si>
    <t>Appetizer</t>
  </si>
  <si>
    <t>N/A</t>
  </si>
  <si>
    <t>The Bill Splitter© v.2 
(Duplicate this)</t>
  </si>
  <si>
    <t>chicken w portugese</t>
  </si>
  <si>
    <t>Sunny</t>
  </si>
  <si>
    <t>pork w cream</t>
  </si>
  <si>
    <t>Jilli</t>
  </si>
  <si>
    <t>pork w black pepper</t>
  </si>
  <si>
    <t>BBQ Chicken</t>
  </si>
  <si>
    <t>Beef Short ribs</t>
  </si>
  <si>
    <t>Chicken Katsu</t>
  </si>
  <si>
    <t>Bubby</t>
  </si>
  <si>
    <t>Lady Noelle of the Archives</t>
  </si>
  <si>
    <t>Sabine the Machine</t>
  </si>
  <si>
    <t>Darren</t>
  </si>
  <si>
    <t>steak w black pepper</t>
  </si>
  <si>
    <t>Noelle</t>
  </si>
  <si>
    <t>unagi don</t>
  </si>
  <si>
    <t>chicken steak</t>
  </si>
  <si>
    <t xml:space="preserve">sunny </t>
  </si>
  <si>
    <t>3 tacos</t>
  </si>
  <si>
    <t>emelia</t>
  </si>
  <si>
    <t>2 steak tacos</t>
  </si>
  <si>
    <t>shannon</t>
  </si>
  <si>
    <t>2 tacos+quesabirria</t>
  </si>
  <si>
    <t>mystery</t>
  </si>
  <si>
    <t>atticus</t>
  </si>
  <si>
    <t xml:space="preserve">3 tacos </t>
  </si>
  <si>
    <t>edison</t>
  </si>
  <si>
    <t>burrito</t>
  </si>
  <si>
    <t>emma</t>
  </si>
  <si>
    <t>plate</t>
  </si>
  <si>
    <t>matt</t>
  </si>
  <si>
    <t>burrito+taco</t>
  </si>
  <si>
    <t>Sean, Atticus, Matthew, Dylan</t>
  </si>
  <si>
    <t>Combo4+Lemon Pepper Wings</t>
  </si>
  <si>
    <t>Arianna, Kelly</t>
  </si>
  <si>
    <t>Combo2 on Fire</t>
  </si>
  <si>
    <t>Jodi and Abby</t>
  </si>
  <si>
    <t>Combo2 Garlic butter+Sweet potato fries</t>
  </si>
  <si>
    <t>Noelle, Trevor, Miggy</t>
  </si>
  <si>
    <t>Combo4 with garlic butter</t>
  </si>
  <si>
    <t>Lobster roll</t>
  </si>
  <si>
    <t>Brendan</t>
  </si>
  <si>
    <t>Garlic noodles</t>
  </si>
  <si>
    <t>Zach+Allison</t>
  </si>
  <si>
    <t>Combo 1+fries+shrimp</t>
  </si>
  <si>
    <t xml:space="preserve">rib eye steak </t>
  </si>
  <si>
    <t>roast duck (half)</t>
  </si>
  <si>
    <t xml:space="preserve">salt/pepper ribs </t>
  </si>
  <si>
    <t>green bean</t>
  </si>
  <si>
    <t xml:space="preserve">noodle </t>
  </si>
  <si>
    <t>eggplant</t>
  </si>
  <si>
    <t>rice</t>
  </si>
  <si>
    <t>Michael (YoyoMa)</t>
  </si>
  <si>
    <t>milk tea</t>
  </si>
  <si>
    <t>Michael</t>
  </si>
  <si>
    <t>boba tea</t>
  </si>
  <si>
    <t>Kelly Li</t>
  </si>
  <si>
    <t>Kelly Deng</t>
  </si>
  <si>
    <t xml:space="preserve">Abigail </t>
  </si>
  <si>
    <t>Miwa</t>
  </si>
  <si>
    <t xml:space="preserve">Miguel </t>
  </si>
  <si>
    <t>Brian</t>
  </si>
  <si>
    <t>Ribeye</t>
  </si>
  <si>
    <t>Sunny, Kev, Jasper, Matt</t>
  </si>
  <si>
    <t>triple dipper</t>
  </si>
  <si>
    <t>jasper</t>
  </si>
  <si>
    <t>lemon drop  marg</t>
  </si>
  <si>
    <t>cake</t>
  </si>
  <si>
    <t>3 for me</t>
  </si>
  <si>
    <t>Seth</t>
  </si>
  <si>
    <t>Rachel</t>
  </si>
  <si>
    <t>Alex</t>
  </si>
  <si>
    <t>Abby</t>
  </si>
  <si>
    <t>Anais</t>
  </si>
  <si>
    <t>kelly</t>
  </si>
  <si>
    <t>Arianna</t>
  </si>
  <si>
    <t>pasta</t>
  </si>
  <si>
    <t>seoullongtang</t>
  </si>
  <si>
    <t>Reygane</t>
  </si>
  <si>
    <t>Atticus</t>
  </si>
  <si>
    <t>seoullongtang and galbi</t>
  </si>
  <si>
    <t>Derek</t>
  </si>
  <si>
    <t xml:space="preserve">Matt </t>
  </si>
  <si>
    <t>toilet paper + paper towels</t>
  </si>
  <si>
    <t>Zach</t>
  </si>
  <si>
    <t>everything else</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</si>
</sst>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22.0"/>
      <color rgb="FFFFFFFF"/>
      <name val="Lexend"/>
    </font>
    <font/>
    <font>
      <sz val="11.0"/>
      <color theme="1"/>
      <name val="Lexend"/>
    </font>
    <font>
      <i/>
      <sz val="11.0"/>
      <color rgb="FF666666"/>
      <name val="Lexend"/>
    </font>
    <font>
      <sz val="9.0"/>
      <color rgb="FF666666"/>
      <name val="Lexend"/>
    </font>
    <font>
      <b/>
      <sz val="12.0"/>
      <color theme="0"/>
      <name val="Lexend"/>
    </font>
    <font>
      <b/>
      <sz val="11.0"/>
      <color theme="1"/>
      <name val="Lexend"/>
    </font>
    <font>
      <sz val="11.0"/>
      <color rgb="FFFFFFFF"/>
      <name val="Lexend"/>
    </font>
    <font>
      <color theme="1"/>
      <name val="Lexend"/>
    </font>
    <font>
      <b/>
      <sz val="12.0"/>
      <color rgb="FFFFFFFF"/>
      <name val="Lexend"/>
    </font>
    <font>
      <sz val="12.0"/>
      <color theme="1"/>
      <name val="Alfa Slab One"/>
    </font>
    <font>
      <color theme="1"/>
      <name val="Arial"/>
      <scheme val="minor"/>
    </font>
    <font>
      <sz val="12.0"/>
      <color rgb="FF000000"/>
      <name val="Lexend"/>
    </font>
    <font>
      <color rgb="FF434343"/>
      <name val="Lexend"/>
    </font>
    <font>
      <color theme="1"/>
      <name val="Arial"/>
    </font>
    <font>
      <b/>
      <sz val="12.0"/>
      <color theme="1"/>
      <name val="Lexend"/>
    </font>
  </fonts>
  <fills count="8">
    <fill>
      <patternFill patternType="none"/>
    </fill>
    <fill>
      <patternFill patternType="lightGray"/>
    </fill>
    <fill>
      <patternFill patternType="solid">
        <fgColor rgb="FF073763"/>
        <bgColor rgb="FF073763"/>
      </patternFill>
    </fill>
    <fill>
      <patternFill patternType="solid">
        <fgColor rgb="FFD9EAD3"/>
        <bgColor rgb="FFD9EAD3"/>
      </patternFill>
    </fill>
    <fill>
      <patternFill patternType="solid">
        <fgColor rgb="FFFFF2CC"/>
        <bgColor rgb="FFFFF2CC"/>
      </patternFill>
    </fill>
    <fill>
      <patternFill patternType="solid">
        <fgColor rgb="FF535FC1"/>
        <bgColor rgb="FF535FC1"/>
      </patternFill>
    </fill>
    <fill>
      <patternFill patternType="solid">
        <fgColor rgb="FFF6F8F9"/>
        <bgColor rgb="FFF6F8F9"/>
      </patternFill>
    </fill>
    <fill>
      <patternFill patternType="solid">
        <fgColor rgb="FFD0E0E3"/>
        <bgColor rgb="FFD0E0E3"/>
      </patternFill>
    </fill>
  </fills>
  <borders count="21">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B7B7B7"/>
      </left>
    </border>
    <border>
      <right style="thin">
        <color rgb="FFB7B7B7"/>
      </right>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top style="thin">
        <color rgb="FF999999"/>
      </top>
      <bottom style="thin">
        <color rgb="FF999999"/>
      </bottom>
    </border>
    <border>
      <left style="thin">
        <color rgb="FFB7B7B7"/>
      </left>
      <top style="thin">
        <color rgb="FFB7B7B7"/>
      </top>
    </border>
    <border>
      <top style="thin">
        <color rgb="FFB7B7B7"/>
      </top>
    </border>
    <border>
      <right style="thin">
        <color rgb="FFB7B7B7"/>
      </right>
      <top style="thin">
        <color rgb="FFB7B7B7"/>
      </top>
    </border>
    <border>
      <left style="thin">
        <color rgb="FF3E4791"/>
      </left>
      <right style="thin">
        <color rgb="FF3E4791"/>
      </right>
      <top style="thin">
        <color rgb="FF3E4791"/>
      </top>
      <bottom style="thin">
        <color rgb="FF3E4791"/>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2" fillId="0" fontId="2" numFmtId="0" xfId="0" applyBorder="1" applyFont="1"/>
    <xf borderId="3" fillId="0" fontId="2" numFmtId="0" xfId="0" applyBorder="1" applyFont="1"/>
    <xf borderId="0" fillId="0" fontId="3" numFmtId="0" xfId="0" applyAlignment="1" applyFont="1">
      <alignment shrinkToFit="0" vertical="top" wrapText="1"/>
    </xf>
    <xf borderId="4" fillId="0" fontId="2" numFmtId="0" xfId="0" applyBorder="1" applyFont="1"/>
    <xf borderId="5" fillId="0" fontId="2" numFmtId="0" xfId="0" applyBorder="1" applyFont="1"/>
    <xf borderId="4" fillId="3" fontId="4" numFmtId="0" xfId="0" applyAlignment="1" applyBorder="1" applyFill="1" applyFont="1">
      <alignment readingOrder="0" shrinkToFit="0" vertical="top" wrapText="1"/>
    </xf>
    <xf borderId="6" fillId="0" fontId="5" numFmtId="0" xfId="0" applyAlignment="1" applyBorder="1" applyFont="1">
      <alignment readingOrder="0" shrinkToFit="0" vertical="top" wrapText="1"/>
    </xf>
    <xf borderId="7" fillId="0" fontId="2" numFmtId="0" xfId="0" applyBorder="1" applyFont="1"/>
    <xf borderId="8" fillId="0" fontId="2" numFmtId="0" xfId="0" applyBorder="1" applyFont="1"/>
    <xf borderId="0" fillId="2" fontId="6" numFmtId="0" xfId="0" applyAlignment="1" applyFont="1">
      <alignment readingOrder="0" shrinkToFit="0" vertical="top" wrapText="1"/>
    </xf>
    <xf borderId="1" fillId="0" fontId="3" numFmtId="0" xfId="0" applyAlignment="1" applyBorder="1" applyFont="1">
      <alignment readingOrder="0" shrinkToFit="0" vertical="top" wrapText="1"/>
    </xf>
    <xf borderId="6" fillId="0" fontId="2" numFmtId="0" xfId="0" applyBorder="1" applyFont="1"/>
    <xf borderId="9" fillId="0" fontId="3" numFmtId="0" xfId="0" applyAlignment="1" applyBorder="1" applyFont="1">
      <alignment readingOrder="0" shrinkToFit="0" vertical="top" wrapText="1"/>
    </xf>
    <xf borderId="10" fillId="0" fontId="2" numFmtId="0" xfId="0" applyBorder="1" applyFont="1"/>
    <xf borderId="9"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7" numFmtId="0" xfId="0" applyAlignment="1" applyBorder="1" applyFont="1">
      <alignment horizontal="left"/>
    </xf>
    <xf borderId="15" fillId="0" fontId="2" numFmtId="0" xfId="0" applyBorder="1" applyFont="1"/>
    <xf borderId="16" fillId="0" fontId="2" numFmtId="0" xfId="0" applyBorder="1" applyFont="1"/>
    <xf borderId="14" fillId="4" fontId="3" numFmtId="0" xfId="0" applyAlignment="1" applyBorder="1" applyFill="1" applyFont="1">
      <alignment horizontal="center" readingOrder="0" shrinkToFit="0" vertical="top" wrapText="1"/>
    </xf>
    <xf borderId="14" fillId="0" fontId="3" numFmtId="0" xfId="0" applyAlignment="1" applyBorder="1" applyFont="1">
      <alignment horizontal="left" readingOrder="0" shrinkToFit="0" vertical="top" wrapText="1"/>
    </xf>
    <xf borderId="14" fillId="5" fontId="8" numFmtId="0" xfId="0" applyAlignment="1" applyBorder="1" applyFill="1" applyFont="1">
      <alignment horizontal="center" readingOrder="0" shrinkToFit="0" vertical="top" wrapText="1"/>
    </xf>
    <xf borderId="17" fillId="0" fontId="3" numFmtId="0" xfId="0" applyAlignment="1" applyBorder="1" applyFont="1">
      <alignment readingOrder="0" shrinkToFit="0" vertical="top" wrapText="1"/>
    </xf>
    <xf borderId="18" fillId="0" fontId="2" numFmtId="0" xfId="0" applyBorder="1" applyFont="1"/>
    <xf borderId="19" fillId="0" fontId="2" numFmtId="0" xfId="0" applyBorder="1" applyFont="1"/>
    <xf borderId="0" fillId="0" fontId="9" numFmtId="0" xfId="0" applyFont="1"/>
    <xf borderId="1" fillId="2" fontId="10" numFmtId="0" xfId="0" applyAlignment="1" applyBorder="1" applyFont="1">
      <alignment shrinkToFit="0" vertical="top" wrapText="1"/>
    </xf>
    <xf borderId="0" fillId="0" fontId="9" numFmtId="0" xfId="0" applyAlignment="1" applyFont="1">
      <alignment vertical="top"/>
    </xf>
    <xf borderId="4" fillId="0" fontId="3" numFmtId="0" xfId="0" applyAlignment="1" applyBorder="1" applyFont="1">
      <alignment readingOrder="0" shrinkToFit="0" vertical="top" wrapText="1"/>
    </xf>
    <xf borderId="0" fillId="0" fontId="11" numFmtId="0" xfId="0" applyAlignment="1" applyFont="1">
      <alignment horizontal="center" readingOrder="0" shrinkToFit="0" vertical="center" wrapText="1"/>
    </xf>
    <xf borderId="0" fillId="0" fontId="9" numFmtId="10" xfId="0" applyAlignment="1" applyFont="1" applyNumberFormat="1">
      <alignment horizontal="center" readingOrder="0" shrinkToFit="0" wrapText="1"/>
    </xf>
    <xf borderId="0" fillId="0" fontId="9" numFmtId="0" xfId="0" applyAlignment="1" applyFont="1">
      <alignment horizontal="center" shrinkToFit="0" wrapText="1"/>
    </xf>
    <xf borderId="0" fillId="0" fontId="9" numFmtId="0" xfId="0" applyAlignment="1" applyFont="1">
      <alignment horizontal="center" readingOrder="0" shrinkToFit="0" wrapText="1"/>
    </xf>
    <xf borderId="0" fillId="0" fontId="12" numFmtId="0" xfId="0" applyAlignment="1" applyFont="1">
      <alignment horizontal="center" shrinkToFit="0" wrapText="1"/>
    </xf>
    <xf borderId="0" fillId="4" fontId="13"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4" fontId="9" numFmtId="0" xfId="0" applyAlignment="1" applyFont="1">
      <alignment horizontal="center" readingOrder="0" shrinkToFit="0" vertical="center" wrapText="1"/>
    </xf>
    <xf borderId="0" fillId="6" fontId="9" numFmtId="0" xfId="0" applyAlignment="1" applyFill="1" applyFont="1">
      <alignment horizontal="center" shrinkToFit="0" vertical="center" wrapText="1"/>
    </xf>
    <xf borderId="0" fillId="6" fontId="9" numFmtId="0" xfId="0" applyAlignment="1" applyFont="1">
      <alignment horizontal="center" readingOrder="0" shrinkToFit="0" vertical="center" wrapText="1"/>
    </xf>
    <xf borderId="20" fillId="7" fontId="14" numFmtId="10" xfId="0" applyAlignment="1" applyBorder="1" applyFill="1" applyFont="1" applyNumberFormat="1">
      <alignment horizontal="center" shrinkToFit="0" vertical="center" wrapText="1"/>
    </xf>
    <xf borderId="20" fillId="7" fontId="15" numFmtId="0" xfId="0" applyAlignment="1" applyBorder="1" applyFont="1">
      <alignment shrinkToFit="0" vertical="center" wrapText="0"/>
    </xf>
    <xf borderId="0" fillId="0" fontId="9" numFmtId="0" xfId="0" applyAlignment="1" applyFont="1">
      <alignment horizontal="center" readingOrder="0" shrinkToFit="0" vertical="center" wrapText="1"/>
    </xf>
    <xf borderId="0" fillId="0" fontId="9" numFmtId="49" xfId="0" applyAlignment="1" applyFont="1" applyNumberFormat="1">
      <alignment horizontal="center" readingOrder="0" shrinkToFit="0" vertical="center" wrapText="1"/>
    </xf>
    <xf borderId="0" fillId="4" fontId="9" numFmtId="0" xfId="0" applyAlignment="1" applyFont="1">
      <alignment horizontal="center" readingOrder="0" shrinkToFit="0" vertical="center" wrapText="1"/>
    </xf>
    <xf borderId="0" fillId="4" fontId="9" numFmtId="49" xfId="0" applyAlignment="1" applyFont="1" applyNumberFormat="1">
      <alignment horizontal="center" readingOrder="0" shrinkToFit="0" vertical="center" wrapText="1"/>
    </xf>
    <xf borderId="0" fillId="4" fontId="9" numFmtId="0" xfId="0" applyAlignment="1" applyFont="1">
      <alignment horizontal="center" readingOrder="0" shrinkToFit="0" vertical="center" wrapText="1"/>
    </xf>
    <xf borderId="0" fillId="0" fontId="9" numFmtId="0" xfId="0" applyAlignment="1" applyFont="1">
      <alignment horizontal="center" shrinkToFit="0" vertical="center" wrapText="1"/>
    </xf>
    <xf borderId="0" fillId="0" fontId="9" numFmtId="10" xfId="0" applyAlignment="1" applyFont="1" applyNumberFormat="1">
      <alignment horizontal="center" shrinkToFit="0" vertical="center" wrapText="1"/>
    </xf>
    <xf borderId="0" fillId="0" fontId="9" numFmtId="0" xfId="0" applyAlignment="1" applyFont="1">
      <alignment horizontal="center" readingOrder="0" shrinkToFit="0" vertical="center" wrapText="1"/>
    </xf>
    <xf borderId="0" fillId="4" fontId="12" numFmtId="0" xfId="0" applyAlignment="1" applyFont="1">
      <alignment horizontal="center" readingOrder="0" shrinkToFit="0" vertical="center" wrapText="1"/>
    </xf>
    <xf borderId="0" fillId="0" fontId="16" numFmtId="0" xfId="0" applyAlignment="1" applyFont="1">
      <alignment horizontal="center" shrinkToFit="0" vertical="center" wrapText="1"/>
    </xf>
    <xf borderId="0" fillId="4" fontId="9" numFmtId="49" xfId="0" applyAlignment="1" applyFont="1" applyNumberFormat="1">
      <alignment horizontal="center" shrinkToFit="0" vertical="center" wrapText="1"/>
    </xf>
    <xf borderId="0" fillId="4" fontId="9" numFmtId="0" xfId="0" applyAlignment="1" applyFont="1">
      <alignment horizontal="center" shrinkToFit="0" vertical="center" wrapText="1"/>
    </xf>
    <xf borderId="0" fillId="4" fontId="9"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5" fontId="9" numFmtId="0" xfId="0" applyAlignment="1" applyFont="1">
      <alignment horizontal="center" readingOrder="0" shrinkToFit="0" vertical="center" wrapText="1"/>
    </xf>
    <xf borderId="0" fillId="4" fontId="9" numFmtId="0" xfId="0" applyAlignment="1" applyFont="1">
      <alignment readingOrder="0" shrinkToFit="0" vertical="center" wrapText="1"/>
    </xf>
    <xf borderId="0" fillId="4" fontId="9" numFmtId="0" xfId="0" applyAlignment="1" applyFont="1">
      <alignment shrinkToFit="0" vertical="center" wrapText="1"/>
    </xf>
  </cellXfs>
  <cellStyles count="1">
    <cellStyle xfId="0" name="Normal" builtinId="0"/>
  </cellStyles>
  <dxfs count="9">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D4D7F0"/>
          <bgColor rgb="FFD4D7F0"/>
        </patternFill>
      </fill>
      <border/>
    </dxf>
    <dxf>
      <border>
        <left style="thin">
          <color rgb="FF535FC1"/>
        </left>
        <right style="thin">
          <color rgb="FF535FC1"/>
        </right>
        <top style="thin">
          <color rgb="FF535FC1"/>
        </top>
        <bottom style="thin">
          <color rgb="FF535FC1"/>
        </bottom>
        <vertical style="thin">
          <color rgb="FFD4D4D4"/>
        </vertical>
        <horizontal style="thin">
          <color rgb="FFD4D4D4"/>
        </horizontal>
      </border>
    </dxf>
    <dxf>
      <font/>
      <fill>
        <patternFill patternType="solid">
          <fgColor rgb="FFD0E0E3"/>
          <bgColor rgb="FFD0E0E3"/>
        </patternFill>
      </fill>
      <border/>
    </dxf>
    <dxf>
      <font/>
      <fill>
        <patternFill patternType="solid">
          <fgColor rgb="FFF4CCCC"/>
          <bgColor rgb="FFF4CCCC"/>
        </patternFill>
      </fill>
      <border/>
    </dxf>
    <dxf>
      <font/>
      <fill>
        <patternFill patternType="solid">
          <fgColor rgb="FFD4D7EF"/>
          <bgColor rgb="FFD4D7EF"/>
        </patternFill>
      </fill>
      <border/>
    </dxf>
  </dxfs>
  <tableStyles count="24">
    <tableStyle count="5" pivot="0" name="Example-style">
      <tableStyleElement dxfId="1" type="headerRow"/>
      <tableStyleElement dxfId="2" type="firstRowStripe"/>
      <tableStyleElement dxfId="3" type="secondRowStripe"/>
      <tableStyleElement dxfId="4" type="totalRow"/>
      <tableStyleElement dxfId="5" size="0" type="wholeTable"/>
    </tableStyle>
    <tableStyle count="4" pivot="0" name="Example-style 2">
      <tableStyleElement dxfId="1" type="headerRow"/>
      <tableStyleElement dxfId="6" type="firstRowStripe"/>
      <tableStyleElement dxfId="3" type="secondRowStripe"/>
      <tableStyleElement dxfId="5" size="0" type="wholeTable"/>
    </tableStyle>
    <tableStyle count="5" pivot="0" name="DUPLICATE THIS-style">
      <tableStyleElement dxfId="1" type="headerRow"/>
      <tableStyleElement dxfId="2" type="firstRowStripe"/>
      <tableStyleElement dxfId="3" type="secondRowStripe"/>
      <tableStyleElement dxfId="8" type="totalRow"/>
      <tableStyleElement dxfId="5" size="0" type="wholeTable"/>
    </tableStyle>
    <tableStyle count="4" pivot="0" name="DUPLICATE THIS-style 2">
      <tableStyleElement dxfId="1" type="headerRow"/>
      <tableStyleElement dxfId="6" type="firstRowStripe"/>
      <tableStyleElement dxfId="3" type="secondRowStripe"/>
      <tableStyleElement dxfId="5" size="0" type="wholeTable"/>
    </tableStyle>
    <tableStyle count="5" pivot="0" name="Tims kitchen 6526-style">
      <tableStyleElement dxfId="1" type="headerRow"/>
      <tableStyleElement dxfId="2" type="firstRowStripe"/>
      <tableStyleElement dxfId="3" type="secondRowStripe"/>
      <tableStyleElement dxfId="8" type="totalRow"/>
      <tableStyleElement dxfId="5" size="0" type="wholeTable"/>
    </tableStyle>
    <tableStyle count="4" pivot="0" name="Tims kitchen 6526-style 2">
      <tableStyleElement dxfId="1" type="headerRow"/>
      <tableStyleElement dxfId="6" type="firstRowStripe"/>
      <tableStyleElement dxfId="3" type="secondRowStripe"/>
      <tableStyleElement dxfId="5" size="0" type="wholeTable"/>
    </tableStyle>
    <tableStyle count="5" pivot="0" name="L&amp;L 52526-style">
      <tableStyleElement dxfId="1" type="headerRow"/>
      <tableStyleElement dxfId="2" type="firstRowStripe"/>
      <tableStyleElement dxfId="3" type="secondRowStripe"/>
      <tableStyleElement dxfId="8" type="totalRow"/>
      <tableStyleElement dxfId="5" size="0" type="wholeTable"/>
    </tableStyle>
    <tableStyle count="4" pivot="0" name="L&amp;L 52526-style 2">
      <tableStyleElement dxfId="1" type="headerRow"/>
      <tableStyleElement dxfId="6" type="firstRowStripe"/>
      <tableStyleElement dxfId="3" type="secondRowStripe"/>
      <tableStyleElement dxfId="5" size="0" type="wholeTable"/>
    </tableStyle>
    <tableStyle count="5" pivot="0" name="Tims Kitchen 51626-style">
      <tableStyleElement dxfId="1" type="headerRow"/>
      <tableStyleElement dxfId="2" type="firstRowStripe"/>
      <tableStyleElement dxfId="3" type="secondRowStripe"/>
      <tableStyleElement dxfId="8" type="totalRow"/>
      <tableStyleElement dxfId="5" size="0" type="wholeTable"/>
    </tableStyle>
    <tableStyle count="4" pivot="0" name="Tims Kitchen 51626-style 2">
      <tableStyleElement dxfId="1" type="headerRow"/>
      <tableStyleElement dxfId="6" type="firstRowStripe"/>
      <tableStyleElement dxfId="3" type="secondRowStripe"/>
      <tableStyleElement dxfId="5" size="0" type="wholeTable"/>
    </tableStyle>
    <tableStyle count="5" pivot="0" name="Sunny Tacos-style">
      <tableStyleElement dxfId="1" type="headerRow"/>
      <tableStyleElement dxfId="2" type="firstRowStripe"/>
      <tableStyleElement dxfId="3" type="secondRowStripe"/>
      <tableStyleElement dxfId="8" type="totalRow"/>
      <tableStyleElement dxfId="5" size="0" type="wholeTable"/>
    </tableStyle>
    <tableStyle count="4" pivot="0" name="Sunny Tacos-style 2">
      <tableStyleElement dxfId="1" type="headerRow"/>
      <tableStyleElement dxfId="6" type="firstRowStripe"/>
      <tableStyleElement dxfId="3" type="secondRowStripe"/>
      <tableStyleElement dxfId="5" size="0" type="wholeTable"/>
    </tableStyle>
    <tableStyle count="5" pivot="0" name="taco truck (not truck)-style">
      <tableStyleElement dxfId="1" type="headerRow"/>
      <tableStyleElement dxfId="2" type="firstRowStripe"/>
      <tableStyleElement dxfId="3" type="secondRowStripe"/>
      <tableStyleElement dxfId="8" type="totalRow"/>
      <tableStyleElement dxfId="5" size="0" type="wholeTable"/>
    </tableStyle>
    <tableStyle count="4" pivot="0" name="taco truck (not truck)-style 2">
      <tableStyleElement dxfId="1" type="headerRow"/>
      <tableStyleElement dxfId="6" type="firstRowStripe"/>
      <tableStyleElement dxfId="3" type="secondRowStripe"/>
      <tableStyleElement dxfId="5" size="0" type="wholeTable"/>
    </tableStyle>
    <tableStyle count="5" pivot="0" name="FISHIES Seafood Boil-style">
      <tableStyleElement dxfId="1" type="headerRow"/>
      <tableStyleElement dxfId="2" type="firstRowStripe"/>
      <tableStyleElement dxfId="3" type="secondRowStripe"/>
      <tableStyleElement dxfId="8" type="totalRow"/>
      <tableStyleElement dxfId="5" size="0" type="wholeTable"/>
    </tableStyle>
    <tableStyle count="4" pivot="0" name="FISHIES Seafood Boil-style 2">
      <tableStyleElement dxfId="1" type="headerRow"/>
      <tableStyleElement dxfId="6" type="firstRowStripe"/>
      <tableStyleElement dxfId="3" type="secondRowStripe"/>
      <tableStyleElement dxfId="5" size="0" type="wholeTable"/>
    </tableStyle>
    <tableStyle count="5" pivot="0" name="Tasty Kitchen 41825-style">
      <tableStyleElement dxfId="1" type="headerRow"/>
      <tableStyleElement dxfId="2" type="firstRowStripe"/>
      <tableStyleElement dxfId="3" type="secondRowStripe"/>
      <tableStyleElement dxfId="4" type="totalRow"/>
      <tableStyleElement dxfId="5" size="0" type="wholeTable"/>
    </tableStyle>
    <tableStyle count="4" pivot="0" name="Tasty Kitchen 41825-style 2">
      <tableStyleElement dxfId="1" type="headerRow"/>
      <tableStyleElement dxfId="6" type="firstRowStripe"/>
      <tableStyleElement dxfId="3" type="secondRowStripe"/>
      <tableStyleElement dxfId="5" size="0" type="wholeTable"/>
    </tableStyle>
    <tableStyle count="5" pivot="0" name="Chilis 572026-style">
      <tableStyleElement dxfId="1" type="headerRow"/>
      <tableStyleElement dxfId="2" type="firstRowStripe"/>
      <tableStyleElement dxfId="3" type="secondRowStripe"/>
      <tableStyleElement dxfId="8" type="totalRow"/>
      <tableStyleElement dxfId="5" size="0" type="wholeTable"/>
    </tableStyle>
    <tableStyle count="4" pivot="0" name="Chilis 572026-style 2">
      <tableStyleElement dxfId="1" type="headerRow"/>
      <tableStyleElement dxfId="6" type="firstRowStripe"/>
      <tableStyleElement dxfId="3" type="secondRowStripe"/>
      <tableStyleElement dxfId="5" size="0" type="wholeTable"/>
    </tableStyle>
    <tableStyle count="5" pivot="0" name="Seoul Haus 41126-style">
      <tableStyleElement dxfId="1" type="headerRow"/>
      <tableStyleElement dxfId="2" type="firstRowStripe"/>
      <tableStyleElement dxfId="3" type="secondRowStripe"/>
      <tableStyleElement dxfId="8" type="totalRow"/>
      <tableStyleElement dxfId="5" size="0" type="wholeTable"/>
    </tableStyle>
    <tableStyle count="4" pivot="0" name="Seoul Haus 41126-style 2">
      <tableStyleElement dxfId="1" type="headerRow"/>
      <tableStyleElement dxfId="6" type="firstRowStripe"/>
      <tableStyleElement dxfId="3" type="secondRowStripe"/>
      <tableStyleElement dxfId="5" size="0" type="wholeTable"/>
    </tableStyle>
    <tableStyle count="5" pivot="0" name="Costco Haul 426-style">
      <tableStyleElement dxfId="1" type="headerRow"/>
      <tableStyleElement dxfId="2" type="firstRowStripe"/>
      <tableStyleElement dxfId="3" type="secondRowStripe"/>
      <tableStyleElement dxfId="8" type="totalRow"/>
      <tableStyleElement dxfId="5" size="0" type="wholeTable"/>
    </tableStyle>
    <tableStyle count="4" pivot="0" name="Costco Haul 426-style 2">
      <tableStyleElement dxfId="1" type="headerRow"/>
      <tableStyleElement dxfId="6" type="firstRowStripe"/>
      <tableStyleElement dxfId="3" type="secondRowStripe"/>
      <tableStyleElement dxfId="5"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B3:E5" displayName="Totals" name="Totals" id="1">
  <tableColumns count="4">
    <tableColumn totalsRowFunction="custom" name="$ Tax Amount" id="1"/>
    <tableColumn totalsRowFunction="custom" name="$ Tip Amount" id="2"/>
    <tableColumn name="$ Subtotal" id="3"/>
    <tableColumn name="$ Grand Total" id="4"/>
  </tableColumns>
  <tableStyleInfo name="Example-style" showColumnStripes="0" showFirstColumn="1" showLastColumn="1" showRowStripes="1"/>
</table>
</file>

<file path=xl/tables/table2.xml><?xml version="1.0" encoding="utf-8"?>
<table xmlns="http://schemas.openxmlformats.org/spreadsheetml/2006/main" ref="A7:J19" displayName="Food_Ordered" name="Food_Ordered" id="2">
  <tableColumns count="10">
    <tableColumn name="Name" id="1"/>
    <tableColumn name="Dish" id="2"/>
    <tableColumn name="$ Dish Price" id="3"/>
    <tableColumn name="Split?" id="4"/>
    <tableColumn name="Personal Subtotal" id="5"/>
    <tableColumn name="Tax/Tip Percentage" id="6"/>
    <tableColumn name="Tax/Tip Cost" id="7"/>
    <tableColumn name="Total" id="8"/>
    <tableColumn name="Paid?" id="9"/>
    <tableColumn name="Payment Status" id="10"/>
  </tableColumns>
  <tableStyleInfo name="Example-style 2" showColumnStripes="0" showFirstColumn="1" showLastColumn="1" showRowStripes="1"/>
</table>
</file>

<file path=xl/tables/table3.xml><?xml version="1.0" encoding="utf-8"?>
<table xmlns="http://schemas.openxmlformats.org/spreadsheetml/2006/main" totalsRowCount="1" ref="B3:E5" displayName="Totals_2" name="Totals_2" id="3">
  <tableColumns count="4">
    <tableColumn totalsRowFunction="custom" name="$ Tax Amount" id="1"/>
    <tableColumn totalsRowFunction="custom" name="$ Tip Amount" id="2"/>
    <tableColumn name="$ Subtotal" id="3"/>
    <tableColumn name="$ Grand Total" id="4"/>
  </tableColumns>
  <tableStyleInfo name="DUPLICATE THIS-style" showColumnStripes="0" showFirstColumn="1" showLastColumn="1" showRowStripes="1"/>
</table>
</file>

<file path=xl/tables/table4.xml><?xml version="1.0" encoding="utf-8"?>
<table xmlns="http://schemas.openxmlformats.org/spreadsheetml/2006/main" ref="A7:J27" displayName="Food_Ordered_2" name="Food_Ordered_2" id="4">
  <tableColumns count="10">
    <tableColumn name="Name" id="1"/>
    <tableColumn name="Dish" id="2"/>
    <tableColumn name="$ Dish Price" id="3"/>
    <tableColumn name="Split?" id="4"/>
    <tableColumn name="Personal Subtotal" id="5"/>
    <tableColumn name="Tax/Tip Percentage" id="6"/>
    <tableColumn name="Tax/Tip Cost" id="7"/>
    <tableColumn name="Total" id="8"/>
    <tableColumn name="Paid?" id="9"/>
    <tableColumn name="Payment Status" id="10"/>
  </tableColumns>
  <tableStyleInfo name="DUPLICATE THIS-style 2" showColumnStripes="0" showFirstColumn="1" showLastColumn="1" showRowStripes="1"/>
</table>
</file>

<file path=xl/tables/table5.xml><?xml version="1.0" encoding="utf-8"?>
<table xmlns="http://schemas.openxmlformats.org/spreadsheetml/2006/main" totalsRowCount="1" ref="B3:E5" displayName="Totals_12" name="Totals_12" id="5">
  <tableColumns count="4">
    <tableColumn totalsRowFunction="custom" name="$ Tax Amount" id="1"/>
    <tableColumn totalsRowFunction="custom" name="$ Tip Amount" id="2"/>
    <tableColumn name="$ Subtotal" id="3"/>
    <tableColumn name="$ Grand Total" id="4"/>
  </tableColumns>
  <tableStyleInfo name="Tims kitchen 6526-style" showColumnStripes="0" showFirstColumn="1" showLastColumn="1" showRowStripes="1"/>
</table>
</file>

<file path=xl/tables/table6.xml><?xml version="1.0" encoding="utf-8"?>
<table xmlns="http://schemas.openxmlformats.org/spreadsheetml/2006/main" ref="A7:J27" displayName="Food_Ordered_12" name="Food_Ordered_12" id="6">
  <tableColumns count="10">
    <tableColumn name="Name" id="1"/>
    <tableColumn name="Dish" id="2"/>
    <tableColumn name="$ Dish Price" id="3"/>
    <tableColumn name="Split?" id="4"/>
    <tableColumn name="Personal Subtotal" id="5"/>
    <tableColumn name="Tax/Tip Percentage" id="6"/>
    <tableColumn name="Tax/Tip Cost" id="7"/>
    <tableColumn name="Total" id="8"/>
    <tableColumn name="Paid?" id="9"/>
    <tableColumn name="Payment Status" id="10"/>
  </tableColumns>
  <tableStyleInfo name="Tims kitchen 6526-style 2" showColumnStripes="0" showFirstColumn="1" showLastColumn="1" showRowStripes="1"/>
</table>
</file>

<file path=xl/tables/table7.xml><?xml version="1.0" encoding="utf-8"?>
<table xmlns="http://schemas.openxmlformats.org/spreadsheetml/2006/main" totalsRowCount="1" ref="B3:E5" displayName="Totals_11" name="Totals_11" id="7">
  <tableColumns count="4">
    <tableColumn totalsRowFunction="custom" name="$ Tax Amount" id="1"/>
    <tableColumn totalsRowFunction="custom" name="$ Tip Amount" id="2"/>
    <tableColumn name="$ Subtotal" id="3"/>
    <tableColumn name="$ Grand Total" id="4"/>
  </tableColumns>
  <tableStyleInfo name="L&amp;L 52526-style" showColumnStripes="0" showFirstColumn="1" showLastColumn="1" showRowStripes="1"/>
</table>
</file>

<file path=xl/tables/table8.xml><?xml version="1.0" encoding="utf-8"?>
<table xmlns="http://schemas.openxmlformats.org/spreadsheetml/2006/main" ref="A7:J27" displayName="Food_Ordered_11" name="Food_Ordered_11" id="8">
  <tableColumns count="10">
    <tableColumn name="Name" id="1"/>
    <tableColumn name="Dish" id="2"/>
    <tableColumn name="$ Dish Price" id="3"/>
    <tableColumn name="Split?" id="4"/>
    <tableColumn name="Personal Subtotal" id="5"/>
    <tableColumn name="Tax/Tip Percentage" id="6"/>
    <tableColumn name="Tax/Tip Cost" id="7"/>
    <tableColumn name="Total" id="8"/>
    <tableColumn name="Paid?" id="9"/>
    <tableColumn name="Payment Status" id="10"/>
  </tableColumns>
  <tableStyleInfo name="L&amp;L 52526-style 2" showColumnStripes="0" showFirstColumn="1" showLastColumn="1" showRowStripes="1"/>
</table>
</file>

<file path=xl/tables/table9.xml><?xml version="1.0" encoding="utf-8"?>
<table xmlns="http://schemas.openxmlformats.org/spreadsheetml/2006/main" totalsRowCount="1" ref="B3:E5" displayName="Totals_10" name="Totals_10" id="9">
  <tableColumns count="4">
    <tableColumn totalsRowFunction="custom" name="$ Tax Amount" id="1"/>
    <tableColumn totalsRowFunction="custom" name="$ Tip Amount" id="2"/>
    <tableColumn name="$ Subtotal" id="3"/>
    <tableColumn name="$ Grand Total" id="4"/>
  </tableColumns>
  <tableStyleInfo name="Tims Kitchen 51626-style" showColumnStripes="0" showFirstColumn="1" showLastColumn="1" showRowStripes="1"/>
</table>
</file>

<file path=xl/tables/table10.xml><?xml version="1.0" encoding="utf-8"?>
<table xmlns="http://schemas.openxmlformats.org/spreadsheetml/2006/main" ref="A7:J27" displayName="Food_Ordered_10" name="Food_Ordered_10" id="10">
  <tableColumns count="10">
    <tableColumn name="Name" id="1"/>
    <tableColumn name="Dish" id="2"/>
    <tableColumn name="$ Dish Price" id="3"/>
    <tableColumn name="Split?" id="4"/>
    <tableColumn name="Personal Subtotal" id="5"/>
    <tableColumn name="Tax/Tip Percentage" id="6"/>
    <tableColumn name="Tax/Tip Cost" id="7"/>
    <tableColumn name="Total" id="8"/>
    <tableColumn name="Paid?" id="9"/>
    <tableColumn name="Payment Status" id="10"/>
  </tableColumns>
  <tableStyleInfo name="Tims Kitchen 51626-style 2" showColumnStripes="0" showFirstColumn="1" showLastColumn="1" showRowStripes="1"/>
</table>
</file>

<file path=xl/tables/table11.xml><?xml version="1.0" encoding="utf-8"?>
<table xmlns="http://schemas.openxmlformats.org/spreadsheetml/2006/main" totalsRowCount="1" ref="B3:E5" displayName="Totals_9" name="Totals_9" id="11">
  <tableColumns count="4">
    <tableColumn totalsRowFunction="custom" name="$ Tax Amount" id="1"/>
    <tableColumn totalsRowFunction="custom" name="$ Tip Amount" id="2"/>
    <tableColumn name="$ Subtotal" id="3"/>
    <tableColumn name="$ Grand Total" id="4"/>
  </tableColumns>
  <tableStyleInfo name="Sunny Tacos-style" showColumnStripes="0" showFirstColumn="1" showLastColumn="1" showRowStripes="1"/>
</table>
</file>

<file path=xl/tables/table12.xml><?xml version="1.0" encoding="utf-8"?>
<table xmlns="http://schemas.openxmlformats.org/spreadsheetml/2006/main" ref="A7:J27" displayName="Food_Ordered_9" name="Food_Ordered_9" id="12">
  <tableColumns count="10">
    <tableColumn name="Name" id="1"/>
    <tableColumn name="Dish" id="2"/>
    <tableColumn name="$ Dish Price" id="3"/>
    <tableColumn name="Split?" id="4"/>
    <tableColumn name="Personal Subtotal" id="5"/>
    <tableColumn name="Tax/Tip Percentage" id="6"/>
    <tableColumn name="Tax/Tip Cost" id="7"/>
    <tableColumn name="Total" id="8"/>
    <tableColumn name="Paid?" id="9"/>
    <tableColumn name="Payment Status" id="10"/>
  </tableColumns>
  <tableStyleInfo name="Sunny Tacos-style 2" showColumnStripes="0" showFirstColumn="1" showLastColumn="1" showRowStripes="1"/>
</table>
</file>

<file path=xl/tables/table13.xml><?xml version="1.0" encoding="utf-8"?>
<table xmlns="http://schemas.openxmlformats.org/spreadsheetml/2006/main" totalsRowCount="1" ref="B3:E5" displayName="Totals_8" name="Totals_8" id="13">
  <tableColumns count="4">
    <tableColumn totalsRowFunction="custom" name="$ Tax Amount" id="1"/>
    <tableColumn totalsRowFunction="custom" name="$ Tip Amount" id="2"/>
    <tableColumn name="$ Subtotal" id="3"/>
    <tableColumn name="$ Grand Total" id="4"/>
  </tableColumns>
  <tableStyleInfo name="taco truck (not truck)-style" showColumnStripes="0" showFirstColumn="1" showLastColumn="1" showRowStripes="1"/>
</table>
</file>

<file path=xl/tables/table14.xml><?xml version="1.0" encoding="utf-8"?>
<table xmlns="http://schemas.openxmlformats.org/spreadsheetml/2006/main" ref="A7:J27" displayName="Food_Ordered_8" name="Food_Ordered_8" id="14">
  <tableColumns count="10">
    <tableColumn name="Name" id="1"/>
    <tableColumn name="Dish" id="2"/>
    <tableColumn name="$ Dish Price" id="3"/>
    <tableColumn name="Split?" id="4"/>
    <tableColumn name="Personal Subtotal" id="5"/>
    <tableColumn name="Tax/Tip Percentage" id="6"/>
    <tableColumn name="Tax/Tip Cost" id="7"/>
    <tableColumn name="Total" id="8"/>
    <tableColumn name="Paid?" id="9"/>
    <tableColumn name="Payment Status" id="10"/>
  </tableColumns>
  <tableStyleInfo name="taco truck (not truck)-style 2" showColumnStripes="0" showFirstColumn="1" showLastColumn="1" showRowStripes="1"/>
</table>
</file>

<file path=xl/tables/table15.xml><?xml version="1.0" encoding="utf-8"?>
<table xmlns="http://schemas.openxmlformats.org/spreadsheetml/2006/main" totalsRowCount="1" ref="B3:E5" displayName="Totals_3" name="Totals_3" id="15">
  <tableColumns count="4">
    <tableColumn totalsRowFunction="custom" name="$ Tax Amount" id="1"/>
    <tableColumn totalsRowFunction="custom" name="$ Tip Amount" id="2"/>
    <tableColumn name="$ Subtotal" id="3"/>
    <tableColumn name="$ Grand Total" id="4"/>
  </tableColumns>
  <tableStyleInfo name="FISHIES Seafood Boil-style" showColumnStripes="0" showFirstColumn="1" showLastColumn="1" showRowStripes="1"/>
</table>
</file>

<file path=xl/tables/table16.xml><?xml version="1.0" encoding="utf-8"?>
<table xmlns="http://schemas.openxmlformats.org/spreadsheetml/2006/main" ref="A7:J17" displayName="Food_Ordered_3" name="Food_Ordered_3" id="16">
  <tableColumns count="10">
    <tableColumn name="Name" id="1"/>
    <tableColumn name="Dish" id="2"/>
    <tableColumn name="$ Dish Price" id="3"/>
    <tableColumn name="Split?" id="4"/>
    <tableColumn name="Personal Subtotal" id="5"/>
    <tableColumn name="Tax/Tip Percentage" id="6"/>
    <tableColumn name="Tax/Tip Cost" id="7"/>
    <tableColumn name="Total" id="8"/>
    <tableColumn name="Paid?" id="9"/>
    <tableColumn name="Payment Status" id="10"/>
  </tableColumns>
  <tableStyleInfo name="FISHIES Seafood Boil-style 2" showColumnStripes="0" showFirstColumn="1" showLastColumn="1" showRowStripes="1"/>
</table>
</file>

<file path=xl/tables/table17.xml><?xml version="1.0" encoding="utf-8"?>
<table xmlns="http://schemas.openxmlformats.org/spreadsheetml/2006/main" totalsRowCount="1" ref="B3:E5" displayName="Totals_5" name="Totals_5" id="17">
  <tableColumns count="4">
    <tableColumn totalsRowFunction="custom" name="$ Tax Amount" id="1"/>
    <tableColumn totalsRowFunction="custom" name="$ Tip Amount" id="2"/>
    <tableColumn name="$ Subtotal" id="3"/>
    <tableColumn name="$ Grand Total" id="4"/>
  </tableColumns>
  <tableStyleInfo name="Tasty Kitchen 41825-style" showColumnStripes="0" showFirstColumn="1" showLastColumn="1" showRowStripes="1"/>
</table>
</file>

<file path=xl/tables/table18.xml><?xml version="1.0" encoding="utf-8"?>
<table xmlns="http://schemas.openxmlformats.org/spreadsheetml/2006/main" ref="A7:J22" displayName="Food_Ordered_5" name="Food_Ordered_5" id="18">
  <tableColumns count="10">
    <tableColumn name="Name" id="1"/>
    <tableColumn name="Dish" id="2"/>
    <tableColumn name="$ Dish Price" id="3"/>
    <tableColumn name="Split?" id="4"/>
    <tableColumn name="Personal Subtotal" id="5"/>
    <tableColumn name="Tax/Tip Percentage" id="6"/>
    <tableColumn name="Tax/Tip Cost" id="7"/>
    <tableColumn name="Total" id="8"/>
    <tableColumn name="Paid?" id="9"/>
    <tableColumn name="Payment Status" id="10"/>
  </tableColumns>
  <tableStyleInfo name="Tasty Kitchen 41825-style 2" showColumnStripes="0" showFirstColumn="1" showLastColumn="1" showRowStripes="1"/>
</table>
</file>

<file path=xl/tables/table19.xml><?xml version="1.0" encoding="utf-8"?>
<table xmlns="http://schemas.openxmlformats.org/spreadsheetml/2006/main" totalsRowCount="1" ref="B3:E5" displayName="Totals_4" name="Totals_4" id="19">
  <tableColumns count="4">
    <tableColumn totalsRowFunction="custom" name="$ Tax Amount" id="1"/>
    <tableColumn totalsRowFunction="custom" name="$ Tip Amount" id="2"/>
    <tableColumn name="$ Subtotal" id="3"/>
    <tableColumn name="$ Grand Total" id="4"/>
  </tableColumns>
  <tableStyleInfo name="Chilis 572026-style" showColumnStripes="0" showFirstColumn="1" showLastColumn="1" showRowStripes="1"/>
</table>
</file>

<file path=xl/tables/table20.xml><?xml version="1.0" encoding="utf-8"?>
<table xmlns="http://schemas.openxmlformats.org/spreadsheetml/2006/main" ref="A7:J27" displayName="Food_Ordered_4" name="Food_Ordered_4" id="20">
  <tableColumns count="10">
    <tableColumn name="Name" id="1"/>
    <tableColumn name="Dish" id="2"/>
    <tableColumn name="$ Dish Price" id="3"/>
    <tableColumn name="Split?" id="4"/>
    <tableColumn name="Personal Subtotal" id="5"/>
    <tableColumn name="Tax/Tip Percentage" id="6"/>
    <tableColumn name="Tax/Tip Cost" id="7"/>
    <tableColumn name="Total" id="8"/>
    <tableColumn name="Paid?" id="9"/>
    <tableColumn name="Payment Status" id="10"/>
  </tableColumns>
  <tableStyleInfo name="Chilis 572026-style 2" showColumnStripes="0" showFirstColumn="1" showLastColumn="1" showRowStripes="1"/>
</table>
</file>

<file path=xl/tables/table21.xml><?xml version="1.0" encoding="utf-8"?>
<table xmlns="http://schemas.openxmlformats.org/spreadsheetml/2006/main" totalsRowCount="1" ref="B3:E5" displayName="Totals_6" name="Totals_6" id="21">
  <tableColumns count="4">
    <tableColumn totalsRowFunction="custom" name="$ Tax Amount" id="1"/>
    <tableColumn totalsRowFunction="custom" name="$ Tip Amount" id="2"/>
    <tableColumn name="$ Subtotal" id="3"/>
    <tableColumn name="$ Grand Total" id="4"/>
  </tableColumns>
  <tableStyleInfo name="Seoul Haus 41126-style" showColumnStripes="0" showFirstColumn="1" showLastColumn="1" showRowStripes="1"/>
</table>
</file>

<file path=xl/tables/table22.xml><?xml version="1.0" encoding="utf-8"?>
<table xmlns="http://schemas.openxmlformats.org/spreadsheetml/2006/main" ref="A7:J27" displayName="Food_Ordered_6" name="Food_Ordered_6" id="22">
  <tableColumns count="10">
    <tableColumn name="Name" id="1"/>
    <tableColumn name="Dish" id="2"/>
    <tableColumn name="$ Dish Price" id="3"/>
    <tableColumn name="Split?" id="4"/>
    <tableColumn name="Personal Subtotal" id="5"/>
    <tableColumn name="Tax/Tip Percentage" id="6"/>
    <tableColumn name="Tax/Tip Cost" id="7"/>
    <tableColumn name="Total" id="8"/>
    <tableColumn name="Paid?" id="9"/>
    <tableColumn name="Payment Status" id="10"/>
  </tableColumns>
  <tableStyleInfo name="Seoul Haus 41126-style 2" showColumnStripes="0" showFirstColumn="1" showLastColumn="1" showRowStripes="1"/>
</table>
</file>

<file path=xl/tables/table23.xml><?xml version="1.0" encoding="utf-8"?>
<table xmlns="http://schemas.openxmlformats.org/spreadsheetml/2006/main" totalsRowCount="1" ref="B3:E5" displayName="Totals_7" name="Totals_7" id="23">
  <tableColumns count="4">
    <tableColumn totalsRowFunction="custom" name="$ Tax Amount" id="1"/>
    <tableColumn totalsRowFunction="custom" name="$ Tip Amount" id="2"/>
    <tableColumn name="$ Subtotal" id="3"/>
    <tableColumn name="$ Grand Total" id="4"/>
  </tableColumns>
  <tableStyleInfo name="Costco Haul 426-style" showColumnStripes="0" showFirstColumn="1" showLastColumn="1" showRowStripes="1"/>
</table>
</file>

<file path=xl/tables/table24.xml><?xml version="1.0" encoding="utf-8"?>
<table xmlns="http://schemas.openxmlformats.org/spreadsheetml/2006/main" ref="A7:J27" displayName="Food_Ordered_7" name="Food_Ordered_7" id="24">
  <tableColumns count="10">
    <tableColumn name="Name" id="1"/>
    <tableColumn name="Dish" id="2"/>
    <tableColumn name="$ Dish Price" id="3"/>
    <tableColumn name="Split?" id="4"/>
    <tableColumn name="Personal Subtotal" id="5"/>
    <tableColumn name="Tax/Tip Percentage" id="6"/>
    <tableColumn name="Tax/Tip Cost" id="7"/>
    <tableColumn name="Total" id="8"/>
    <tableColumn name="Paid?" id="9"/>
    <tableColumn name="Payment Status" id="10"/>
  </tableColumns>
  <tableStyleInfo name="Costco Haul 426-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5.xml"/><Relationship Id="rId5"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7.xml"/><Relationship Id="rId5"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9.xml"/><Relationship Id="rId5"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1.xml"/><Relationship Id="rId5"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3.xml"/><Relationship Id="rId5"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5.xml"/><Relationship Id="rId5" Type="http://schemas.openxmlformats.org/officeDocument/2006/relationships/table" Target="../tables/table1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7.xml"/><Relationship Id="rId5" Type="http://schemas.openxmlformats.org/officeDocument/2006/relationships/table" Target="../tables/table1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19.xml"/><Relationship Id="rId5" Type="http://schemas.openxmlformats.org/officeDocument/2006/relationships/table" Target="../tables/table2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21.xml"/><Relationship Id="rId5" Type="http://schemas.openxmlformats.org/officeDocument/2006/relationships/table" Target="../tables/table2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23.xml"/><Relationship Id="rId5"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5"/>
    <col customWidth="1" min="2" max="7" width="13.25"/>
    <col customWidth="1" min="8" max="8" width="11.5"/>
  </cols>
  <sheetData>
    <row r="1">
      <c r="A1" s="1" t="s">
        <v>0</v>
      </c>
      <c r="B1" s="2"/>
      <c r="C1" s="2"/>
      <c r="D1" s="2"/>
      <c r="E1" s="2"/>
      <c r="F1" s="2"/>
      <c r="G1" s="2"/>
      <c r="H1" s="3"/>
      <c r="I1" s="4"/>
      <c r="J1" s="4"/>
      <c r="K1" s="4"/>
      <c r="L1" s="4"/>
      <c r="M1" s="4"/>
      <c r="N1" s="4"/>
      <c r="O1" s="4"/>
      <c r="P1" s="4"/>
      <c r="Q1" s="4"/>
      <c r="R1" s="4"/>
      <c r="S1" s="4"/>
      <c r="T1" s="4"/>
      <c r="U1" s="4"/>
      <c r="V1" s="4"/>
      <c r="W1" s="4"/>
      <c r="X1" s="4"/>
      <c r="Y1" s="4"/>
      <c r="Z1" s="4"/>
    </row>
    <row r="2">
      <c r="A2" s="5"/>
      <c r="H2" s="6"/>
      <c r="I2" s="4"/>
      <c r="J2" s="4"/>
      <c r="K2" s="4"/>
      <c r="L2" s="4"/>
      <c r="M2" s="4"/>
      <c r="N2" s="4"/>
      <c r="O2" s="4"/>
      <c r="P2" s="4"/>
      <c r="Q2" s="4"/>
      <c r="R2" s="4"/>
      <c r="S2" s="4"/>
      <c r="T2" s="4"/>
      <c r="U2" s="4"/>
      <c r="V2" s="4"/>
      <c r="W2" s="4"/>
      <c r="X2" s="4"/>
      <c r="Y2" s="4"/>
      <c r="Z2" s="4"/>
    </row>
    <row r="3">
      <c r="A3" s="7" t="s">
        <v>1</v>
      </c>
      <c r="H3" s="6"/>
      <c r="I3" s="4"/>
      <c r="J3" s="4"/>
      <c r="K3" s="4"/>
      <c r="L3" s="4"/>
      <c r="M3" s="4"/>
      <c r="N3" s="4"/>
      <c r="O3" s="4"/>
      <c r="P3" s="4"/>
      <c r="Q3" s="4"/>
      <c r="R3" s="4"/>
      <c r="S3" s="4"/>
      <c r="T3" s="4"/>
      <c r="U3" s="4"/>
      <c r="V3" s="4"/>
      <c r="W3" s="4"/>
      <c r="X3" s="4"/>
      <c r="Y3" s="4"/>
      <c r="Z3" s="4"/>
    </row>
    <row r="4">
      <c r="A4" s="8" t="s">
        <v>2</v>
      </c>
      <c r="B4" s="9"/>
      <c r="C4" s="9"/>
      <c r="D4" s="9"/>
      <c r="E4" s="9"/>
      <c r="F4" s="9"/>
      <c r="G4" s="9"/>
      <c r="H4" s="10"/>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ht="21.0" customHeight="1">
      <c r="A6" s="11" t="s">
        <v>3</v>
      </c>
      <c r="I6" s="4"/>
      <c r="J6" s="4"/>
      <c r="K6" s="4"/>
      <c r="L6" s="4"/>
      <c r="M6" s="4"/>
      <c r="N6" s="4"/>
      <c r="O6" s="4"/>
      <c r="P6" s="4"/>
      <c r="Q6" s="4"/>
      <c r="R6" s="4"/>
      <c r="S6" s="4"/>
      <c r="T6" s="4"/>
      <c r="U6" s="4"/>
      <c r="V6" s="4"/>
      <c r="W6" s="4"/>
      <c r="X6" s="4"/>
      <c r="Y6" s="4"/>
      <c r="Z6" s="4"/>
    </row>
    <row r="7" ht="22.5" customHeight="1">
      <c r="A7" s="12" t="s">
        <v>4</v>
      </c>
      <c r="B7" s="2"/>
      <c r="C7" s="2"/>
      <c r="D7" s="2"/>
      <c r="E7" s="2"/>
      <c r="F7" s="2"/>
      <c r="G7" s="2"/>
      <c r="H7" s="3"/>
      <c r="I7" s="4"/>
      <c r="J7" s="4"/>
      <c r="K7" s="4"/>
      <c r="L7" s="4"/>
      <c r="M7" s="4"/>
      <c r="N7" s="4"/>
      <c r="O7" s="4"/>
      <c r="P7" s="4"/>
      <c r="Q7" s="4"/>
      <c r="R7" s="4"/>
      <c r="S7" s="4"/>
      <c r="T7" s="4"/>
      <c r="U7" s="4"/>
      <c r="V7" s="4"/>
      <c r="W7" s="4"/>
      <c r="X7" s="4"/>
      <c r="Y7" s="4"/>
      <c r="Z7" s="4"/>
    </row>
    <row r="8" ht="22.5" customHeight="1">
      <c r="A8" s="5"/>
      <c r="H8" s="6"/>
      <c r="I8" s="4"/>
      <c r="J8" s="4"/>
      <c r="K8" s="4"/>
      <c r="L8" s="4"/>
      <c r="M8" s="4"/>
      <c r="N8" s="4"/>
      <c r="O8" s="4"/>
      <c r="P8" s="4"/>
      <c r="Q8" s="4"/>
      <c r="R8" s="4"/>
      <c r="S8" s="4"/>
      <c r="T8" s="4"/>
      <c r="U8" s="4"/>
      <c r="V8" s="4"/>
      <c r="W8" s="4"/>
      <c r="X8" s="4"/>
      <c r="Y8" s="4"/>
      <c r="Z8" s="4"/>
    </row>
    <row r="9" ht="16.5" customHeight="1">
      <c r="A9" s="13"/>
      <c r="B9" s="9"/>
      <c r="C9" s="9"/>
      <c r="D9" s="9"/>
      <c r="E9" s="9"/>
      <c r="F9" s="9"/>
      <c r="G9" s="9"/>
      <c r="H9" s="10"/>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11" t="s">
        <v>5</v>
      </c>
      <c r="I11" s="4"/>
      <c r="J11" s="4"/>
      <c r="K11" s="4"/>
      <c r="L11" s="4"/>
      <c r="M11" s="4"/>
      <c r="N11" s="4"/>
      <c r="O11" s="4"/>
      <c r="P11" s="4"/>
      <c r="Q11" s="4"/>
      <c r="R11" s="4"/>
      <c r="S11" s="4"/>
      <c r="T11" s="4"/>
      <c r="U11" s="4"/>
      <c r="V11" s="4"/>
      <c r="W11" s="4"/>
      <c r="X11" s="4"/>
      <c r="Y11" s="4"/>
      <c r="Z11" s="4"/>
    </row>
    <row r="12" ht="75.0" customHeight="1">
      <c r="A12" s="14" t="s">
        <v>6</v>
      </c>
      <c r="H12" s="15"/>
      <c r="I12" s="4"/>
      <c r="J12" s="4"/>
      <c r="K12" s="4"/>
      <c r="L12" s="4"/>
      <c r="M12" s="4"/>
      <c r="N12" s="4"/>
      <c r="O12" s="4"/>
      <c r="P12" s="4"/>
      <c r="Q12" s="4"/>
      <c r="R12" s="4"/>
      <c r="S12" s="4"/>
      <c r="T12" s="4"/>
      <c r="U12" s="4"/>
      <c r="V12" s="4"/>
      <c r="W12" s="4"/>
      <c r="X12" s="4"/>
      <c r="Y12" s="4"/>
      <c r="Z12" s="4"/>
    </row>
    <row r="13" ht="75.0" customHeight="1">
      <c r="A13" s="16"/>
      <c r="H13" s="15"/>
      <c r="I13" s="4"/>
      <c r="J13" s="4"/>
      <c r="K13" s="4"/>
      <c r="L13" s="4"/>
      <c r="M13" s="4"/>
      <c r="N13" s="4"/>
      <c r="O13" s="4"/>
      <c r="P13" s="4"/>
      <c r="Q13" s="4"/>
      <c r="R13" s="4"/>
      <c r="S13" s="4"/>
      <c r="T13" s="4"/>
      <c r="U13" s="4"/>
      <c r="V13" s="4"/>
      <c r="W13" s="4"/>
      <c r="X13" s="4"/>
      <c r="Y13" s="4"/>
      <c r="Z13" s="4"/>
    </row>
    <row r="14" ht="75.0" customHeight="1">
      <c r="A14" s="16"/>
      <c r="H14" s="15"/>
      <c r="I14" s="4"/>
      <c r="J14" s="4"/>
      <c r="K14" s="4"/>
      <c r="L14" s="4"/>
      <c r="M14" s="4"/>
      <c r="N14" s="4"/>
      <c r="O14" s="4"/>
      <c r="P14" s="4"/>
      <c r="Q14" s="4"/>
      <c r="R14" s="4"/>
      <c r="S14" s="4"/>
      <c r="T14" s="4"/>
      <c r="U14" s="4"/>
      <c r="V14" s="4"/>
      <c r="W14" s="4"/>
      <c r="X14" s="4"/>
      <c r="Y14" s="4"/>
      <c r="Z14" s="4"/>
    </row>
    <row r="15" ht="75.0" customHeight="1">
      <c r="A15" s="16"/>
      <c r="H15" s="15"/>
      <c r="I15" s="4"/>
      <c r="J15" s="4"/>
      <c r="K15" s="4"/>
      <c r="L15" s="4"/>
      <c r="M15" s="4"/>
      <c r="N15" s="4"/>
      <c r="O15" s="4"/>
      <c r="P15" s="4"/>
      <c r="Q15" s="4"/>
      <c r="R15" s="4"/>
      <c r="S15" s="4"/>
      <c r="T15" s="4"/>
      <c r="U15" s="4"/>
      <c r="V15" s="4"/>
      <c r="W15" s="4"/>
      <c r="X15" s="4"/>
      <c r="Y15" s="4"/>
      <c r="Z15" s="4"/>
    </row>
    <row r="16" ht="75.0" customHeight="1">
      <c r="A16" s="16"/>
      <c r="H16" s="15"/>
      <c r="I16" s="4"/>
      <c r="J16" s="4"/>
      <c r="K16" s="4"/>
      <c r="L16" s="4"/>
      <c r="M16" s="4"/>
      <c r="N16" s="4"/>
      <c r="O16" s="4"/>
      <c r="P16" s="4"/>
      <c r="Q16" s="4"/>
      <c r="R16" s="4"/>
      <c r="S16" s="4"/>
      <c r="T16" s="4"/>
      <c r="U16" s="4"/>
      <c r="V16" s="4"/>
      <c r="W16" s="4"/>
      <c r="X16" s="4"/>
      <c r="Y16" s="4"/>
      <c r="Z16" s="4"/>
    </row>
    <row r="17" ht="75.0" customHeight="1">
      <c r="A17" s="16"/>
      <c r="H17" s="15"/>
      <c r="I17" s="4"/>
      <c r="J17" s="4"/>
      <c r="K17" s="4"/>
      <c r="L17" s="4"/>
      <c r="M17" s="4"/>
      <c r="N17" s="4"/>
      <c r="O17" s="4"/>
      <c r="P17" s="4"/>
      <c r="Q17" s="4"/>
      <c r="R17" s="4"/>
      <c r="S17" s="4"/>
      <c r="T17" s="4"/>
      <c r="U17" s="4"/>
      <c r="V17" s="4"/>
      <c r="W17" s="4"/>
      <c r="X17" s="4"/>
      <c r="Y17" s="4"/>
      <c r="Z17" s="4"/>
    </row>
    <row r="18" ht="18.0" customHeight="1">
      <c r="A18" s="17"/>
      <c r="B18" s="18"/>
      <c r="C18" s="18"/>
      <c r="D18" s="18"/>
      <c r="E18" s="18"/>
      <c r="F18" s="18"/>
      <c r="G18" s="18"/>
      <c r="H18" s="19"/>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11" t="s">
        <v>7</v>
      </c>
      <c r="I20" s="4"/>
      <c r="J20" s="4"/>
      <c r="K20" s="4"/>
      <c r="L20" s="4"/>
      <c r="M20" s="4"/>
      <c r="N20" s="4"/>
      <c r="O20" s="4"/>
      <c r="P20" s="4"/>
      <c r="Q20" s="4"/>
      <c r="R20" s="4"/>
      <c r="S20" s="4"/>
      <c r="T20" s="4"/>
      <c r="U20" s="4"/>
      <c r="V20" s="4"/>
      <c r="W20" s="4"/>
      <c r="X20" s="4"/>
      <c r="Y20" s="4"/>
      <c r="Z20" s="4"/>
    </row>
    <row r="21">
      <c r="A21" s="20" t="s">
        <v>8</v>
      </c>
      <c r="B21" s="21"/>
      <c r="C21" s="20" t="s">
        <v>9</v>
      </c>
      <c r="D21" s="22"/>
      <c r="E21" s="22"/>
      <c r="F21" s="22"/>
      <c r="G21" s="22"/>
      <c r="H21" s="21"/>
      <c r="I21" s="4"/>
      <c r="J21" s="4"/>
      <c r="K21" s="4"/>
      <c r="L21" s="4"/>
      <c r="M21" s="4"/>
      <c r="N21" s="4"/>
      <c r="O21" s="4"/>
      <c r="P21" s="4"/>
      <c r="Q21" s="4"/>
      <c r="R21" s="4"/>
      <c r="S21" s="4"/>
      <c r="T21" s="4"/>
      <c r="U21" s="4"/>
      <c r="V21" s="4"/>
      <c r="W21" s="4"/>
      <c r="X21" s="4"/>
      <c r="Y21" s="4"/>
      <c r="Z21" s="4"/>
    </row>
    <row r="22">
      <c r="A22" s="23" t="s">
        <v>10</v>
      </c>
      <c r="B22" s="21"/>
      <c r="C22" s="24" t="s">
        <v>11</v>
      </c>
      <c r="D22" s="22"/>
      <c r="E22" s="22"/>
      <c r="F22" s="22"/>
      <c r="G22" s="22"/>
      <c r="H22" s="21"/>
      <c r="I22" s="4"/>
      <c r="J22" s="4"/>
      <c r="K22" s="4"/>
      <c r="L22" s="4"/>
      <c r="M22" s="4"/>
      <c r="N22" s="4"/>
      <c r="O22" s="4"/>
      <c r="P22" s="4"/>
      <c r="Q22" s="4"/>
      <c r="R22" s="4"/>
      <c r="S22" s="4"/>
      <c r="T22" s="4"/>
      <c r="U22" s="4"/>
      <c r="V22" s="4"/>
      <c r="W22" s="4"/>
      <c r="X22" s="4"/>
      <c r="Y22" s="4"/>
      <c r="Z22" s="4"/>
    </row>
    <row r="23">
      <c r="A23" s="25" t="s">
        <v>12</v>
      </c>
      <c r="B23" s="21"/>
      <c r="C23" s="24" t="s">
        <v>13</v>
      </c>
      <c r="D23" s="22"/>
      <c r="E23" s="22"/>
      <c r="F23" s="22"/>
      <c r="G23" s="22"/>
      <c r="H23" s="21"/>
      <c r="I23" s="4"/>
      <c r="J23" s="4"/>
      <c r="K23" s="4"/>
      <c r="L23" s="4"/>
      <c r="M23" s="4"/>
      <c r="N23" s="4"/>
      <c r="O23" s="4"/>
      <c r="P23" s="4"/>
      <c r="Q23" s="4"/>
      <c r="R23" s="4"/>
      <c r="S23" s="4"/>
      <c r="T23" s="4"/>
      <c r="U23" s="4"/>
      <c r="V23" s="4"/>
      <c r="W23" s="4"/>
      <c r="X23" s="4"/>
      <c r="Y23" s="4"/>
      <c r="Z23" s="4"/>
    </row>
    <row r="24">
      <c r="A24" s="25" t="s">
        <v>14</v>
      </c>
      <c r="B24" s="21"/>
      <c r="C24" s="24" t="s">
        <v>15</v>
      </c>
      <c r="D24" s="22"/>
      <c r="E24" s="22"/>
      <c r="F24" s="22"/>
      <c r="G24" s="22"/>
      <c r="H24" s="21"/>
      <c r="I24" s="4"/>
      <c r="J24" s="4"/>
      <c r="K24" s="4"/>
      <c r="L24" s="4"/>
      <c r="M24" s="4"/>
      <c r="N24" s="4"/>
      <c r="O24" s="4"/>
      <c r="P24" s="4"/>
      <c r="Q24" s="4"/>
      <c r="R24" s="4"/>
      <c r="S24" s="4"/>
      <c r="T24" s="4"/>
      <c r="U24" s="4"/>
      <c r="V24" s="4"/>
      <c r="W24" s="4"/>
      <c r="X24" s="4"/>
      <c r="Y24" s="4"/>
      <c r="Z24" s="4"/>
    </row>
    <row r="25">
      <c r="A25" s="25" t="s">
        <v>16</v>
      </c>
      <c r="B25" s="21"/>
      <c r="C25" s="24" t="s">
        <v>17</v>
      </c>
      <c r="D25" s="22"/>
      <c r="E25" s="22"/>
      <c r="F25" s="22"/>
      <c r="G25" s="22"/>
      <c r="H25" s="21"/>
      <c r="I25" s="4"/>
      <c r="J25" s="4"/>
      <c r="K25" s="4"/>
      <c r="L25" s="4"/>
      <c r="M25" s="4"/>
      <c r="N25" s="4"/>
      <c r="O25" s="4"/>
      <c r="P25" s="4"/>
      <c r="Q25" s="4"/>
      <c r="R25" s="4"/>
      <c r="S25" s="4"/>
      <c r="T25" s="4"/>
      <c r="U25" s="4"/>
      <c r="V25" s="4"/>
      <c r="W25" s="4"/>
      <c r="X25" s="4"/>
      <c r="Y25" s="4"/>
      <c r="Z25" s="4"/>
    </row>
    <row r="26">
      <c r="A26" s="25" t="s">
        <v>18</v>
      </c>
      <c r="B26" s="21"/>
      <c r="C26" s="24" t="s">
        <v>19</v>
      </c>
      <c r="D26" s="22"/>
      <c r="E26" s="22"/>
      <c r="F26" s="22"/>
      <c r="G26" s="22"/>
      <c r="H26" s="21"/>
      <c r="I26" s="4"/>
      <c r="J26" s="4"/>
      <c r="K26" s="4"/>
      <c r="L26" s="4"/>
      <c r="M26" s="4"/>
      <c r="N26" s="4"/>
      <c r="O26" s="4"/>
      <c r="P26" s="4"/>
      <c r="Q26" s="4"/>
      <c r="R26" s="4"/>
      <c r="S26" s="4"/>
      <c r="T26" s="4"/>
      <c r="U26" s="4"/>
      <c r="V26" s="4"/>
      <c r="W26" s="4"/>
      <c r="X26" s="4"/>
      <c r="Y26" s="4"/>
      <c r="Z26" s="4"/>
    </row>
    <row r="27">
      <c r="A27" s="25" t="s">
        <v>20</v>
      </c>
      <c r="B27" s="21"/>
      <c r="C27" s="24" t="s">
        <v>21</v>
      </c>
      <c r="D27" s="22"/>
      <c r="E27" s="22"/>
      <c r="F27" s="22"/>
      <c r="G27" s="22"/>
      <c r="H27" s="21"/>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11" t="s">
        <v>22</v>
      </c>
      <c r="I29" s="4"/>
      <c r="J29" s="4"/>
      <c r="K29" s="4"/>
      <c r="L29" s="4"/>
      <c r="M29" s="4"/>
      <c r="N29" s="4"/>
      <c r="O29" s="4"/>
      <c r="P29" s="4"/>
      <c r="Q29" s="4"/>
      <c r="R29" s="4"/>
      <c r="S29" s="4"/>
      <c r="T29" s="4"/>
      <c r="U29" s="4"/>
      <c r="V29" s="4"/>
      <c r="W29" s="4"/>
      <c r="X29" s="4"/>
      <c r="Y29" s="4"/>
      <c r="Z29" s="4"/>
    </row>
    <row r="30" ht="22.5" customHeight="1">
      <c r="A30" s="26" t="s">
        <v>23</v>
      </c>
      <c r="B30" s="27"/>
      <c r="C30" s="27"/>
      <c r="D30" s="27"/>
      <c r="E30" s="27"/>
      <c r="F30" s="27"/>
      <c r="G30" s="27"/>
      <c r="H30" s="28"/>
      <c r="I30" s="4"/>
      <c r="J30" s="4"/>
      <c r="K30" s="4"/>
      <c r="L30" s="4"/>
      <c r="M30" s="4"/>
      <c r="N30" s="4"/>
      <c r="O30" s="4"/>
      <c r="P30" s="4"/>
      <c r="Q30" s="4"/>
      <c r="R30" s="4"/>
      <c r="S30" s="4"/>
      <c r="T30" s="4"/>
      <c r="U30" s="4"/>
      <c r="V30" s="4"/>
      <c r="W30" s="4"/>
      <c r="X30" s="4"/>
      <c r="Y30" s="4"/>
      <c r="Z30" s="4"/>
    </row>
    <row r="31" ht="22.5" customHeight="1">
      <c r="A31" s="16"/>
      <c r="H31" s="15"/>
      <c r="I31" s="4"/>
      <c r="J31" s="4"/>
      <c r="K31" s="4"/>
      <c r="L31" s="4"/>
      <c r="M31" s="4"/>
      <c r="N31" s="4"/>
      <c r="O31" s="4"/>
      <c r="P31" s="4"/>
      <c r="Q31" s="4"/>
      <c r="R31" s="4"/>
      <c r="S31" s="4"/>
      <c r="T31" s="4"/>
      <c r="U31" s="4"/>
      <c r="V31" s="4"/>
      <c r="W31" s="4"/>
      <c r="X31" s="4"/>
      <c r="Y31" s="4"/>
      <c r="Z31" s="4"/>
    </row>
    <row r="32" ht="22.5" customHeight="1">
      <c r="A32" s="16"/>
      <c r="H32" s="15"/>
      <c r="I32" s="4"/>
      <c r="J32" s="4"/>
      <c r="K32" s="4"/>
      <c r="L32" s="4"/>
      <c r="M32" s="4"/>
      <c r="N32" s="4"/>
      <c r="O32" s="4"/>
      <c r="P32" s="4"/>
      <c r="Q32" s="4"/>
      <c r="R32" s="4"/>
      <c r="S32" s="4"/>
      <c r="T32" s="4"/>
      <c r="U32" s="4"/>
      <c r="V32" s="4"/>
      <c r="W32" s="4"/>
      <c r="X32" s="4"/>
      <c r="Y32" s="4"/>
      <c r="Z32" s="4"/>
    </row>
    <row r="33" ht="22.5" customHeight="1">
      <c r="A33" s="16"/>
      <c r="H33" s="15"/>
      <c r="I33" s="4"/>
      <c r="J33" s="4"/>
      <c r="K33" s="4"/>
      <c r="L33" s="4"/>
      <c r="M33" s="4"/>
      <c r="N33" s="4"/>
      <c r="O33" s="4"/>
      <c r="P33" s="4"/>
      <c r="Q33" s="4"/>
      <c r="R33" s="4"/>
      <c r="S33" s="4"/>
      <c r="T33" s="4"/>
      <c r="U33" s="4"/>
      <c r="V33" s="4"/>
      <c r="W33" s="4"/>
      <c r="X33" s="4"/>
      <c r="Y33" s="4"/>
      <c r="Z33" s="4"/>
    </row>
    <row r="34" ht="22.5" customHeight="1">
      <c r="A34" s="17"/>
      <c r="B34" s="18"/>
      <c r="C34" s="18"/>
      <c r="D34" s="18"/>
      <c r="E34" s="18"/>
      <c r="F34" s="18"/>
      <c r="G34" s="18"/>
      <c r="H34" s="19"/>
      <c r="I34" s="4"/>
      <c r="J34" s="4"/>
      <c r="K34" s="4"/>
      <c r="L34" s="4"/>
      <c r="M34" s="4"/>
      <c r="N34" s="4"/>
      <c r="O34" s="4"/>
      <c r="P34" s="4"/>
      <c r="Q34" s="4"/>
      <c r="R34" s="4"/>
      <c r="S34" s="4"/>
      <c r="T34" s="4"/>
      <c r="U34" s="4"/>
      <c r="V34" s="4"/>
      <c r="W34" s="4"/>
      <c r="X34" s="4"/>
      <c r="Y34" s="4"/>
      <c r="Z34" s="4"/>
    </row>
    <row r="35">
      <c r="A35" s="29"/>
      <c r="B35" s="4"/>
      <c r="C35" s="4"/>
      <c r="D35" s="4"/>
      <c r="E35" s="4"/>
      <c r="F35" s="4"/>
      <c r="G35" s="4"/>
      <c r="H35" s="4"/>
      <c r="I35" s="4"/>
      <c r="J35" s="4"/>
      <c r="K35" s="4"/>
      <c r="L35" s="4"/>
      <c r="M35" s="4"/>
      <c r="N35" s="4"/>
      <c r="O35" s="4"/>
      <c r="P35" s="4"/>
      <c r="Q35" s="4"/>
      <c r="R35" s="4"/>
      <c r="S35" s="4"/>
      <c r="T35" s="4"/>
      <c r="U35" s="4"/>
      <c r="V35" s="4"/>
      <c r="W35" s="4"/>
      <c r="X35" s="4"/>
      <c r="Y35" s="4"/>
      <c r="Z35" s="4"/>
    </row>
    <row r="36">
      <c r="A36" s="11" t="s">
        <v>24</v>
      </c>
      <c r="I36" s="4"/>
      <c r="J36" s="4"/>
      <c r="K36" s="4"/>
      <c r="L36" s="4"/>
      <c r="M36" s="4"/>
      <c r="N36" s="4"/>
      <c r="O36" s="4"/>
      <c r="P36" s="4"/>
      <c r="Q36" s="4"/>
      <c r="R36" s="4"/>
      <c r="S36" s="4"/>
      <c r="T36" s="4"/>
      <c r="U36" s="4"/>
      <c r="V36" s="4"/>
      <c r="W36" s="4"/>
      <c r="X36" s="4"/>
      <c r="Y36" s="4"/>
      <c r="Z36" s="4"/>
    </row>
    <row r="37" ht="26.25" customHeight="1">
      <c r="A37" s="26" t="s">
        <v>25</v>
      </c>
      <c r="B37" s="27"/>
      <c r="C37" s="27"/>
      <c r="D37" s="27"/>
      <c r="E37" s="27"/>
      <c r="F37" s="27"/>
      <c r="G37" s="27"/>
      <c r="H37" s="28"/>
      <c r="I37" s="4"/>
      <c r="J37" s="4"/>
      <c r="K37" s="4"/>
      <c r="L37" s="4"/>
      <c r="M37" s="4"/>
      <c r="N37" s="4"/>
      <c r="O37" s="4"/>
      <c r="P37" s="4"/>
      <c r="Q37" s="4"/>
      <c r="R37" s="4"/>
      <c r="S37" s="4"/>
      <c r="T37" s="4"/>
      <c r="U37" s="4"/>
      <c r="V37" s="4"/>
      <c r="W37" s="4"/>
      <c r="X37" s="4"/>
      <c r="Y37" s="4"/>
      <c r="Z37" s="4"/>
    </row>
    <row r="38" ht="26.25" customHeight="1">
      <c r="A38" s="16"/>
      <c r="H38" s="15"/>
      <c r="I38" s="4"/>
      <c r="J38" s="4"/>
      <c r="K38" s="4"/>
      <c r="L38" s="4"/>
      <c r="M38" s="4"/>
      <c r="N38" s="4"/>
      <c r="O38" s="4"/>
      <c r="P38" s="4"/>
      <c r="Q38" s="4"/>
      <c r="R38" s="4"/>
      <c r="S38" s="4"/>
      <c r="T38" s="4"/>
      <c r="U38" s="4"/>
      <c r="V38" s="4"/>
      <c r="W38" s="4"/>
      <c r="X38" s="4"/>
      <c r="Y38" s="4"/>
      <c r="Z38" s="4"/>
    </row>
    <row r="39" ht="22.5" customHeight="1">
      <c r="A39" s="17"/>
      <c r="B39" s="18"/>
      <c r="C39" s="18"/>
      <c r="D39" s="18"/>
      <c r="E39" s="18"/>
      <c r="F39" s="18"/>
      <c r="G39" s="18"/>
      <c r="H39" s="19"/>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30" t="s">
        <v>26</v>
      </c>
      <c r="B41" s="2"/>
      <c r="C41" s="2"/>
      <c r="D41" s="2"/>
      <c r="E41" s="2"/>
      <c r="F41" s="2"/>
      <c r="G41" s="2"/>
      <c r="H41" s="3"/>
      <c r="I41" s="31"/>
      <c r="J41" s="31"/>
      <c r="K41" s="31"/>
      <c r="L41" s="31"/>
      <c r="M41" s="31"/>
      <c r="N41" s="31"/>
      <c r="O41" s="31"/>
      <c r="P41" s="31"/>
      <c r="Q41" s="31"/>
      <c r="R41" s="31"/>
      <c r="S41" s="31"/>
      <c r="T41" s="31"/>
      <c r="U41" s="31"/>
      <c r="V41" s="31"/>
      <c r="W41" s="31"/>
      <c r="X41" s="31"/>
      <c r="Y41" s="31"/>
      <c r="Z41" s="31"/>
    </row>
    <row r="42" ht="20.25" customHeight="1">
      <c r="A42" s="32" t="s">
        <v>27</v>
      </c>
      <c r="H42" s="6"/>
      <c r="I42" s="31"/>
      <c r="J42" s="31"/>
      <c r="K42" s="31"/>
      <c r="L42" s="31"/>
      <c r="M42" s="31"/>
      <c r="N42" s="31"/>
      <c r="O42" s="31"/>
      <c r="P42" s="31"/>
      <c r="Q42" s="31"/>
      <c r="R42" s="31"/>
      <c r="S42" s="31"/>
      <c r="T42" s="31"/>
      <c r="U42" s="31"/>
      <c r="V42" s="31"/>
      <c r="W42" s="31"/>
      <c r="X42" s="31"/>
      <c r="Y42" s="31"/>
      <c r="Z42" s="31"/>
    </row>
    <row r="43" ht="20.25" customHeight="1">
      <c r="A43" s="5"/>
      <c r="H43" s="6"/>
      <c r="I43" s="31"/>
      <c r="J43" s="31"/>
      <c r="K43" s="31"/>
      <c r="L43" s="31"/>
      <c r="M43" s="31"/>
      <c r="N43" s="31"/>
      <c r="O43" s="31"/>
      <c r="P43" s="31"/>
      <c r="Q43" s="31"/>
      <c r="R43" s="31"/>
      <c r="S43" s="31"/>
      <c r="T43" s="31"/>
      <c r="U43" s="31"/>
      <c r="V43" s="31"/>
      <c r="W43" s="31"/>
      <c r="X43" s="31"/>
      <c r="Y43" s="31"/>
      <c r="Z43" s="31"/>
    </row>
    <row r="44" ht="20.25" customHeight="1">
      <c r="A44" s="5"/>
      <c r="H44" s="6"/>
      <c r="I44" s="31"/>
      <c r="J44" s="31"/>
      <c r="K44" s="31"/>
      <c r="L44" s="31"/>
      <c r="M44" s="31"/>
      <c r="N44" s="31"/>
      <c r="O44" s="31"/>
      <c r="P44" s="31"/>
      <c r="Q44" s="31"/>
      <c r="R44" s="31"/>
      <c r="S44" s="31"/>
      <c r="T44" s="31"/>
      <c r="U44" s="31"/>
      <c r="V44" s="31"/>
      <c r="W44" s="31"/>
      <c r="X44" s="31"/>
      <c r="Y44" s="31"/>
      <c r="Z44" s="31"/>
    </row>
    <row r="45" ht="12.75" customHeight="1">
      <c r="A45" s="13"/>
      <c r="B45" s="9"/>
      <c r="C45" s="9"/>
      <c r="D45" s="9"/>
      <c r="E45" s="9"/>
      <c r="F45" s="9"/>
      <c r="G45" s="9"/>
      <c r="H45" s="10"/>
      <c r="I45" s="31"/>
      <c r="J45" s="31"/>
      <c r="K45" s="31"/>
      <c r="L45" s="31"/>
      <c r="M45" s="31"/>
      <c r="N45" s="31"/>
      <c r="O45" s="31"/>
      <c r="P45" s="31"/>
      <c r="Q45" s="31"/>
      <c r="R45" s="31"/>
      <c r="S45" s="31"/>
      <c r="T45" s="31"/>
      <c r="U45" s="31"/>
      <c r="V45" s="31"/>
      <c r="W45" s="31"/>
      <c r="X45" s="31"/>
      <c r="Y45" s="31"/>
      <c r="Z45" s="31"/>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28">
    <mergeCell ref="A1:H2"/>
    <mergeCell ref="A3:H3"/>
    <mergeCell ref="A4:H4"/>
    <mergeCell ref="A6:H6"/>
    <mergeCell ref="A7:H9"/>
    <mergeCell ref="A11:H11"/>
    <mergeCell ref="A12:H18"/>
    <mergeCell ref="A29:H29"/>
    <mergeCell ref="A36:H36"/>
    <mergeCell ref="A37:H39"/>
    <mergeCell ref="A41:H41"/>
    <mergeCell ref="A42:H45"/>
    <mergeCell ref="A30:H34"/>
    <mergeCell ref="A26:B26"/>
    <mergeCell ref="C26:H26"/>
    <mergeCell ref="A27:B27"/>
    <mergeCell ref="C27:H27"/>
    <mergeCell ref="C21:H21"/>
    <mergeCell ref="A21:B21"/>
    <mergeCell ref="A22:B22"/>
    <mergeCell ref="C22:H22"/>
    <mergeCell ref="A20:H20"/>
    <mergeCell ref="A23:B23"/>
    <mergeCell ref="C23:H23"/>
    <mergeCell ref="A24:B24"/>
    <mergeCell ref="C24:H24"/>
    <mergeCell ref="A25:B25"/>
    <mergeCell ref="C25:H2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4.5"/>
    <col customWidth="1" min="2" max="2" width="13.88"/>
    <col customWidth="1" min="3" max="3" width="12.25"/>
    <col customWidth="1" min="4" max="4" width="14.25"/>
    <col customWidth="1" min="5" max="5" width="12.5"/>
    <col customWidth="1" min="6" max="6" width="14.75"/>
    <col customWidth="1" min="7" max="7" width="12.13"/>
    <col customWidth="1" min="8" max="8" width="10.13"/>
    <col customWidth="1" min="9" max="9" width="11.0"/>
    <col customWidth="1" min="10" max="10" width="22.25"/>
    <col customWidth="1" min="11" max="11" width="15.88"/>
  </cols>
  <sheetData>
    <row r="1" ht="57.0" customHeight="1">
      <c r="A1" s="33" t="s">
        <v>28</v>
      </c>
      <c r="B1" s="34"/>
      <c r="C1" s="35"/>
      <c r="D1" s="35"/>
      <c r="E1" s="35"/>
      <c r="F1" s="35"/>
      <c r="G1" s="35"/>
      <c r="H1" s="35"/>
      <c r="I1" s="35"/>
      <c r="J1" s="35"/>
      <c r="K1" s="35"/>
      <c r="L1" s="35"/>
      <c r="M1" s="35"/>
      <c r="N1" s="35"/>
      <c r="O1" s="35"/>
      <c r="P1" s="35"/>
      <c r="Q1" s="35"/>
      <c r="R1" s="35"/>
      <c r="S1" s="35"/>
      <c r="T1" s="35"/>
      <c r="U1" s="35"/>
      <c r="V1" s="35"/>
      <c r="W1" s="35"/>
      <c r="X1" s="35"/>
      <c r="Y1" s="35"/>
      <c r="Z1" s="35"/>
      <c r="AA1" s="35"/>
    </row>
    <row r="2" outlineLevel="1">
      <c r="A2" s="36" t="s">
        <v>29</v>
      </c>
      <c r="B2" s="37"/>
      <c r="C2" s="37"/>
      <c r="D2" s="37"/>
      <c r="E2" s="37"/>
      <c r="F2" s="35"/>
      <c r="G2" s="35"/>
      <c r="H2" s="35"/>
      <c r="I2" s="35"/>
      <c r="J2" s="35"/>
      <c r="K2" s="35"/>
      <c r="L2" s="35"/>
      <c r="M2" s="35"/>
      <c r="N2" s="35"/>
      <c r="O2" s="35"/>
      <c r="P2" s="35"/>
      <c r="Q2" s="35"/>
      <c r="R2" s="35"/>
      <c r="S2" s="35"/>
      <c r="T2" s="35"/>
      <c r="U2" s="35"/>
      <c r="V2" s="35"/>
      <c r="W2" s="35"/>
      <c r="X2" s="35"/>
      <c r="Y2" s="35"/>
      <c r="Z2" s="35"/>
      <c r="AA2" s="35"/>
    </row>
    <row r="3" ht="22.5" customHeight="1" outlineLevel="1">
      <c r="A3" s="38" t="s">
        <v>30</v>
      </c>
      <c r="B3" s="39" t="s">
        <v>31</v>
      </c>
      <c r="C3" s="39" t="s">
        <v>32</v>
      </c>
      <c r="D3" s="40" t="s">
        <v>33</v>
      </c>
      <c r="E3" s="39" t="s">
        <v>34</v>
      </c>
      <c r="F3" s="35"/>
      <c r="G3" s="35"/>
      <c r="H3" s="35"/>
      <c r="I3" s="35"/>
      <c r="J3" s="35"/>
      <c r="K3" s="35"/>
      <c r="L3" s="35"/>
      <c r="M3" s="35"/>
      <c r="N3" s="35"/>
      <c r="O3" s="35"/>
      <c r="P3" s="35"/>
      <c r="Q3" s="35"/>
      <c r="R3" s="35"/>
      <c r="S3" s="35"/>
      <c r="T3" s="35"/>
      <c r="U3" s="35"/>
      <c r="V3" s="35"/>
      <c r="W3" s="35"/>
      <c r="X3" s="35"/>
      <c r="Y3" s="35"/>
      <c r="Z3" s="35"/>
      <c r="AA3" s="35"/>
    </row>
    <row r="4" ht="22.5" customHeight="1" outlineLevel="1">
      <c r="A4" s="36" t="s">
        <v>35</v>
      </c>
      <c r="B4" s="41">
        <v>8.66</v>
      </c>
      <c r="C4" s="41">
        <v>16.34</v>
      </c>
      <c r="D4" s="42">
        <f>SUM(Food_Ordered[$ Dish Price])</f>
        <v>105</v>
      </c>
      <c r="E4" s="43">
        <f>ROUND(SUM(H:H),4)</f>
        <v>130</v>
      </c>
      <c r="F4" s="35"/>
      <c r="G4" s="35"/>
      <c r="H4" s="35"/>
      <c r="I4" s="35"/>
      <c r="J4" s="35"/>
      <c r="K4" s="35"/>
      <c r="L4" s="35"/>
      <c r="M4" s="35"/>
      <c r="N4" s="35"/>
      <c r="O4" s="35"/>
      <c r="P4" s="35"/>
      <c r="Q4" s="35"/>
      <c r="R4" s="35"/>
      <c r="S4" s="35"/>
      <c r="T4" s="35"/>
      <c r="U4" s="35"/>
      <c r="V4" s="35"/>
      <c r="W4" s="35"/>
      <c r="X4" s="35"/>
      <c r="Y4" s="35"/>
      <c r="Z4" s="35"/>
      <c r="AA4" s="35"/>
    </row>
    <row r="5" ht="22.5" customHeight="1">
      <c r="A5" s="36" t="s">
        <v>36</v>
      </c>
      <c r="B5" s="44" t="str">
        <f>"("&amp;TEXT(SUM(Totals[$ Tax Amount]/Totals[$ Subtotal]),"#,##0.00%")&amp;")"</f>
        <v>(8.25%)</v>
      </c>
      <c r="C5" s="44" t="str">
        <f>"("&amp;TEXT(SUM(Totals[$ Tip Amount]/Totals[$ Subtotal]),"#,##0.00%")&amp;")"</f>
        <v>(15.56%)</v>
      </c>
      <c r="D5" s="45"/>
      <c r="E5" s="45"/>
      <c r="F5" s="35"/>
      <c r="G5" s="35"/>
      <c r="H5" s="35"/>
      <c r="I5" s="35"/>
      <c r="J5" s="35"/>
      <c r="K5" s="35"/>
      <c r="L5" s="35"/>
      <c r="M5" s="35"/>
      <c r="N5" s="35"/>
      <c r="O5" s="35"/>
      <c r="P5" s="35"/>
      <c r="Q5" s="35"/>
      <c r="R5" s="35"/>
      <c r="S5" s="35"/>
      <c r="T5" s="35"/>
      <c r="U5" s="35"/>
      <c r="V5" s="35"/>
      <c r="W5" s="35"/>
      <c r="X5" s="35"/>
      <c r="Y5" s="35"/>
      <c r="Z5" s="35"/>
      <c r="AA5" s="35"/>
    </row>
    <row r="6">
      <c r="A6" s="35"/>
      <c r="B6" s="35"/>
      <c r="C6" s="35"/>
      <c r="D6" s="35"/>
      <c r="E6" s="35"/>
      <c r="F6" s="35"/>
      <c r="G6" s="36"/>
      <c r="H6" s="35"/>
      <c r="I6" s="35"/>
      <c r="J6" s="35"/>
      <c r="K6" s="35"/>
      <c r="L6" s="35"/>
      <c r="M6" s="35"/>
      <c r="N6" s="35"/>
      <c r="O6" s="35"/>
      <c r="P6" s="35"/>
      <c r="Q6" s="35"/>
      <c r="R6" s="35"/>
      <c r="S6" s="35"/>
      <c r="T6" s="35"/>
      <c r="U6" s="35"/>
      <c r="V6" s="35"/>
      <c r="W6" s="35"/>
      <c r="X6" s="35"/>
      <c r="Y6" s="35"/>
      <c r="Z6" s="35"/>
      <c r="AA6" s="35"/>
    </row>
    <row r="7" ht="22.5" customHeight="1">
      <c r="A7" s="46" t="s">
        <v>37</v>
      </c>
      <c r="B7" s="46" t="s">
        <v>38</v>
      </c>
      <c r="C7" s="46" t="s">
        <v>39</v>
      </c>
      <c r="D7" s="46" t="s">
        <v>40</v>
      </c>
      <c r="E7" s="46" t="s">
        <v>12</v>
      </c>
      <c r="F7" s="47" t="s">
        <v>14</v>
      </c>
      <c r="G7" s="39" t="s">
        <v>16</v>
      </c>
      <c r="H7" s="39" t="s">
        <v>18</v>
      </c>
      <c r="I7" s="39" t="s">
        <v>41</v>
      </c>
      <c r="J7" s="39" t="s">
        <v>20</v>
      </c>
      <c r="K7" s="35"/>
      <c r="L7" s="35"/>
      <c r="M7" s="35"/>
      <c r="N7" s="35"/>
      <c r="O7" s="35"/>
      <c r="P7" s="35"/>
      <c r="Q7" s="35"/>
      <c r="R7" s="35"/>
      <c r="S7" s="35"/>
      <c r="T7" s="35"/>
      <c r="U7" s="35"/>
      <c r="V7" s="35"/>
      <c r="W7" s="35"/>
      <c r="X7" s="35"/>
      <c r="Y7" s="35"/>
      <c r="Z7" s="35"/>
    </row>
    <row r="8" ht="22.5" customHeight="1">
      <c r="A8" s="48" t="s">
        <v>42</v>
      </c>
      <c r="B8" s="49" t="s">
        <v>43</v>
      </c>
      <c r="C8" s="41">
        <v>20.0</v>
      </c>
      <c r="D8" s="50" t="s">
        <v>44</v>
      </c>
      <c r="E8" s="51">
        <f t="shared" ref="E8:E19" si="1">IF(OR(D8="Appetizer", D8="Treated",D8="N/A"), 0, SUMIF(A$8:A19, A8, C$8:C19) + (SUMIF(D$8:D19, "Appetizer", C$8:C19) + SUMIF(D$8:D19, "Treated", C$8:C19)) / COUNTIF(D$8:D19, "Solo"))
</f>
        <v>33</v>
      </c>
      <c r="F8" s="52">
        <f>IFERROR(ROUND(E8 / Totals[$ Subtotal], 4), 0)
</f>
        <v>0.3143</v>
      </c>
      <c r="G8" s="53">
        <f>IFERROR(F8*(Totals[$ Tax Amount]+Totals[$ Tip Amount]), 0)
</f>
        <v>7.8575</v>
      </c>
      <c r="H8" s="51">
        <f t="shared" ref="H8:H19" si="2">E8+G8</f>
        <v>40.8575</v>
      </c>
      <c r="I8" s="54" t="b">
        <v>1</v>
      </c>
      <c r="J8" s="55" t="str">
        <f t="shared" ref="J8:J19" si="3">IF(E8=0,"",A8 &amp; " ($" &amp; TEXT(H8, "#,##0.00") &amp; ") " &amp; IF(I8=TRUE, "✅", "❌"))</f>
        <v>Matt ($40.86) ✅</v>
      </c>
      <c r="K8" s="35"/>
      <c r="L8" s="35"/>
      <c r="M8" s="35"/>
      <c r="N8" s="35"/>
      <c r="O8" s="35"/>
      <c r="P8" s="35"/>
      <c r="Q8" s="35"/>
      <c r="R8" s="35"/>
      <c r="S8" s="35"/>
      <c r="T8" s="35"/>
      <c r="U8" s="35"/>
      <c r="V8" s="35"/>
      <c r="W8" s="35"/>
      <c r="X8" s="35"/>
      <c r="Y8" s="35"/>
      <c r="Z8" s="35"/>
    </row>
    <row r="9" ht="22.5" customHeight="1">
      <c r="A9" s="48" t="s">
        <v>45</v>
      </c>
      <c r="B9" s="49" t="s">
        <v>46</v>
      </c>
      <c r="C9" s="41">
        <v>25.0</v>
      </c>
      <c r="D9" s="50" t="s">
        <v>44</v>
      </c>
      <c r="E9" s="51">
        <f t="shared" si="1"/>
        <v>38</v>
      </c>
      <c r="F9" s="52">
        <f>IFERROR(ROUND(E9 / Totals[$ Subtotal], 4), 0)
</f>
        <v>0.3619</v>
      </c>
      <c r="G9" s="51">
        <f>IFERROR(F9*(Totals[$ Tax Amount]+Totals[$ Tip Amount]), 0)
</f>
        <v>9.0475</v>
      </c>
      <c r="H9" s="51">
        <f t="shared" si="2"/>
        <v>47.0475</v>
      </c>
      <c r="I9" s="54" t="b">
        <v>0</v>
      </c>
      <c r="J9" s="55" t="str">
        <f t="shared" si="3"/>
        <v>Miggy ($47.05) ❌</v>
      </c>
      <c r="K9" s="35"/>
      <c r="L9" s="35"/>
      <c r="M9" s="35"/>
      <c r="N9" s="35"/>
      <c r="O9" s="35"/>
      <c r="P9" s="35"/>
      <c r="Q9" s="35"/>
      <c r="R9" s="35"/>
      <c r="S9" s="35"/>
      <c r="T9" s="35"/>
      <c r="U9" s="35"/>
      <c r="V9" s="35"/>
      <c r="W9" s="35"/>
      <c r="X9" s="35"/>
      <c r="Y9" s="35"/>
      <c r="Z9" s="35"/>
    </row>
    <row r="10" ht="22.5" customHeight="1">
      <c r="A10" s="48" t="s">
        <v>47</v>
      </c>
      <c r="B10" s="49" t="s">
        <v>48</v>
      </c>
      <c r="C10" s="41">
        <v>21.0</v>
      </c>
      <c r="D10" s="50" t="s">
        <v>44</v>
      </c>
      <c r="E10" s="51">
        <f t="shared" si="1"/>
        <v>34</v>
      </c>
      <c r="F10" s="52">
        <f>IFERROR(ROUND(E10 / Totals[$ Subtotal], 4), 0)
</f>
        <v>0.3238</v>
      </c>
      <c r="G10" s="53">
        <f>IFERROR(F10*(Totals[$ Tax Amount]+Totals[$ Tip Amount]), 0)
</f>
        <v>8.095</v>
      </c>
      <c r="H10" s="51">
        <f t="shared" si="2"/>
        <v>42.095</v>
      </c>
      <c r="I10" s="54" t="b">
        <v>1</v>
      </c>
      <c r="J10" s="55" t="str">
        <f t="shared" si="3"/>
        <v>Sean ($42.10) ✅</v>
      </c>
      <c r="K10" s="35"/>
      <c r="L10" s="35"/>
      <c r="M10" s="35"/>
      <c r="N10" s="35"/>
      <c r="O10" s="35"/>
      <c r="P10" s="35"/>
      <c r="Q10" s="35"/>
      <c r="R10" s="35"/>
      <c r="S10" s="35"/>
      <c r="T10" s="35"/>
      <c r="U10" s="35"/>
      <c r="V10" s="35"/>
      <c r="W10" s="35"/>
      <c r="X10" s="35"/>
      <c r="Y10" s="35"/>
      <c r="Z10" s="35"/>
    </row>
    <row r="11" ht="22.5" customHeight="1">
      <c r="A11" s="48" t="s">
        <v>49</v>
      </c>
      <c r="B11" s="49" t="s">
        <v>50</v>
      </c>
      <c r="C11" s="41">
        <v>20.0</v>
      </c>
      <c r="D11" s="50" t="s">
        <v>51</v>
      </c>
      <c r="E11" s="51">
        <f t="shared" si="1"/>
        <v>0</v>
      </c>
      <c r="F11" s="52">
        <f>IFERROR(ROUND(E11 / Totals[$ Subtotal], 4), 0)
</f>
        <v>0</v>
      </c>
      <c r="G11" s="51">
        <f>IFERROR(F11*(Totals[$ Tax Amount]+Totals[$ Tip Amount]), 0)
</f>
        <v>0</v>
      </c>
      <c r="H11" s="51">
        <f t="shared" si="2"/>
        <v>0</v>
      </c>
      <c r="I11" s="54" t="b">
        <v>0</v>
      </c>
      <c r="J11" s="55" t="str">
        <f t="shared" si="3"/>
        <v/>
      </c>
      <c r="K11" s="35"/>
      <c r="L11" s="35"/>
      <c r="M11" s="35"/>
      <c r="N11" s="35"/>
      <c r="O11" s="35"/>
      <c r="P11" s="35"/>
      <c r="Q11" s="35"/>
      <c r="R11" s="35"/>
      <c r="S11" s="35"/>
      <c r="T11" s="35"/>
      <c r="U11" s="35"/>
      <c r="V11" s="35"/>
      <c r="W11" s="35"/>
      <c r="X11" s="35"/>
      <c r="Y11" s="35"/>
      <c r="Z11" s="35"/>
    </row>
    <row r="12" ht="22.5" customHeight="1">
      <c r="A12" s="48" t="s">
        <v>52</v>
      </c>
      <c r="B12" s="49" t="s">
        <v>53</v>
      </c>
      <c r="C12" s="41">
        <v>19.0</v>
      </c>
      <c r="D12" s="50" t="s">
        <v>54</v>
      </c>
      <c r="E12" s="51">
        <f t="shared" si="1"/>
        <v>0</v>
      </c>
      <c r="F12" s="52">
        <f>IFERROR(ROUND(E12 / Totals[$ Subtotal], 4), 0)
</f>
        <v>0</v>
      </c>
      <c r="G12" s="51">
        <f>IFERROR(F12*(Totals[$ Tax Amount]+Totals[$ Tip Amount]), 0)
</f>
        <v>0</v>
      </c>
      <c r="H12" s="51">
        <f t="shared" si="2"/>
        <v>0</v>
      </c>
      <c r="I12" s="54" t="b">
        <v>0</v>
      </c>
      <c r="J12" s="55" t="str">
        <f t="shared" si="3"/>
        <v/>
      </c>
      <c r="K12" s="35"/>
      <c r="L12" s="35"/>
      <c r="M12" s="35"/>
      <c r="N12" s="35"/>
      <c r="O12" s="35"/>
      <c r="P12" s="35"/>
      <c r="Q12" s="35"/>
      <c r="R12" s="35"/>
      <c r="S12" s="35"/>
      <c r="T12" s="35"/>
      <c r="U12" s="35"/>
      <c r="V12" s="35"/>
      <c r="W12" s="35"/>
      <c r="X12" s="35"/>
      <c r="Y12" s="35"/>
      <c r="Z12" s="35"/>
    </row>
    <row r="13" ht="22.5" customHeight="1">
      <c r="A13" s="48"/>
      <c r="B13" s="49"/>
      <c r="C13" s="41"/>
      <c r="D13" s="50" t="s">
        <v>55</v>
      </c>
      <c r="E13" s="51">
        <f t="shared" si="1"/>
        <v>0</v>
      </c>
      <c r="F13" s="52">
        <f>IFERROR(ROUND(E13 / Totals[$ Subtotal], 4), 0)
</f>
        <v>0</v>
      </c>
      <c r="G13" s="51">
        <f>IFERROR(F13*(Totals[$ Tax Amount]+Totals[$ Tip Amount]), 0)
</f>
        <v>0</v>
      </c>
      <c r="H13" s="51">
        <f t="shared" si="2"/>
        <v>0</v>
      </c>
      <c r="I13" s="54" t="b">
        <v>0</v>
      </c>
      <c r="J13" s="55" t="str">
        <f t="shared" si="3"/>
        <v/>
      </c>
      <c r="K13" s="35"/>
      <c r="L13" s="35"/>
      <c r="M13" s="35"/>
      <c r="N13" s="35"/>
      <c r="O13" s="35"/>
      <c r="P13" s="35"/>
      <c r="Q13" s="35"/>
      <c r="R13" s="35"/>
      <c r="S13" s="35"/>
      <c r="T13" s="35"/>
      <c r="U13" s="35"/>
      <c r="V13" s="35"/>
      <c r="W13" s="35"/>
      <c r="X13" s="35"/>
      <c r="Y13" s="35"/>
      <c r="Z13" s="35"/>
    </row>
    <row r="14" ht="22.5" customHeight="1">
      <c r="A14" s="48"/>
      <c r="B14" s="56"/>
      <c r="C14" s="57"/>
      <c r="D14" s="50" t="s">
        <v>55</v>
      </c>
      <c r="E14" s="51">
        <f t="shared" si="1"/>
        <v>0</v>
      </c>
      <c r="F14" s="52">
        <f>IFERROR(ROUND(E14 / Totals[$ Subtotal], 4), 0)
</f>
        <v>0</v>
      </c>
      <c r="G14" s="51">
        <f>IFERROR(F14*(Totals[$ Tax Amount]+Totals[$ Tip Amount]), 0)
</f>
        <v>0</v>
      </c>
      <c r="H14" s="51">
        <f t="shared" si="2"/>
        <v>0</v>
      </c>
      <c r="I14" s="54" t="b">
        <v>0</v>
      </c>
      <c r="J14" s="55" t="str">
        <f t="shared" si="3"/>
        <v/>
      </c>
      <c r="K14" s="35"/>
      <c r="L14" s="35"/>
      <c r="M14" s="35"/>
      <c r="N14" s="35"/>
      <c r="O14" s="35"/>
      <c r="P14" s="35"/>
      <c r="Q14" s="35"/>
      <c r="R14" s="35"/>
      <c r="S14" s="35"/>
      <c r="T14" s="35"/>
      <c r="U14" s="35"/>
      <c r="V14" s="35"/>
      <c r="W14" s="35"/>
      <c r="X14" s="35"/>
      <c r="Y14" s="35"/>
      <c r="Z14" s="35"/>
    </row>
    <row r="15" ht="22.5" customHeight="1">
      <c r="A15" s="58"/>
      <c r="B15" s="56"/>
      <c r="C15" s="57"/>
      <c r="D15" s="50" t="s">
        <v>55</v>
      </c>
      <c r="E15" s="51">
        <f t="shared" si="1"/>
        <v>0</v>
      </c>
      <c r="F15" s="52">
        <f>IFERROR(ROUND(E15 / Totals[$ Subtotal], 4), 0)
</f>
        <v>0</v>
      </c>
      <c r="G15" s="51">
        <f>IFERROR(F15*(Totals[$ Tax Amount]+Totals[$ Tip Amount]), 0)
</f>
        <v>0</v>
      </c>
      <c r="H15" s="51">
        <f t="shared" si="2"/>
        <v>0</v>
      </c>
      <c r="I15" s="54" t="b">
        <v>0</v>
      </c>
      <c r="J15" s="55" t="str">
        <f t="shared" si="3"/>
        <v/>
      </c>
      <c r="K15" s="35"/>
      <c r="L15" s="35"/>
      <c r="M15" s="35"/>
      <c r="N15" s="35"/>
      <c r="O15" s="35"/>
      <c r="P15" s="35"/>
      <c r="Q15" s="35"/>
      <c r="R15" s="35"/>
      <c r="S15" s="35"/>
      <c r="T15" s="35"/>
      <c r="U15" s="35"/>
      <c r="V15" s="35"/>
      <c r="W15" s="35"/>
      <c r="X15" s="35"/>
      <c r="Y15" s="35"/>
      <c r="Z15" s="35"/>
    </row>
    <row r="16" ht="22.5" customHeight="1">
      <c r="A16" s="58"/>
      <c r="B16" s="56"/>
      <c r="C16" s="57"/>
      <c r="D16" s="50" t="s">
        <v>55</v>
      </c>
      <c r="E16" s="51">
        <f t="shared" si="1"/>
        <v>0</v>
      </c>
      <c r="F16" s="52">
        <f>IFERROR(ROUND(E16 / Totals[$ Subtotal], 4), 0)
</f>
        <v>0</v>
      </c>
      <c r="G16" s="51">
        <f>IFERROR(F16*(Totals[$ Tax Amount]+Totals[$ Tip Amount]), 0)
</f>
        <v>0</v>
      </c>
      <c r="H16" s="51">
        <f t="shared" si="2"/>
        <v>0</v>
      </c>
      <c r="I16" s="54" t="b">
        <v>0</v>
      </c>
      <c r="J16" s="55" t="str">
        <f t="shared" si="3"/>
        <v/>
      </c>
      <c r="K16" s="35"/>
      <c r="L16" s="35"/>
      <c r="M16" s="35"/>
      <c r="N16" s="35"/>
      <c r="O16" s="35"/>
      <c r="P16" s="35"/>
      <c r="Q16" s="35"/>
      <c r="R16" s="35"/>
      <c r="S16" s="35"/>
      <c r="T16" s="35"/>
      <c r="U16" s="35"/>
      <c r="V16" s="35"/>
      <c r="W16" s="35"/>
      <c r="X16" s="35"/>
      <c r="Y16" s="35"/>
      <c r="Z16" s="35"/>
    </row>
    <row r="17" ht="22.5" customHeight="1">
      <c r="A17" s="58"/>
      <c r="B17" s="56"/>
      <c r="C17" s="57"/>
      <c r="D17" s="50" t="s">
        <v>55</v>
      </c>
      <c r="E17" s="51">
        <f t="shared" si="1"/>
        <v>0</v>
      </c>
      <c r="F17" s="52">
        <f>IFERROR(ROUND(E17 / Totals[$ Subtotal], 4), 0)
</f>
        <v>0</v>
      </c>
      <c r="G17" s="51">
        <f>IFERROR(F17*(Totals[$ Tax Amount]+Totals[$ Tip Amount]), 0)
</f>
        <v>0</v>
      </c>
      <c r="H17" s="51">
        <f t="shared" si="2"/>
        <v>0</v>
      </c>
      <c r="I17" s="54" t="b">
        <v>0</v>
      </c>
      <c r="J17" s="55" t="str">
        <f t="shared" si="3"/>
        <v/>
      </c>
      <c r="K17" s="35"/>
      <c r="L17" s="35"/>
      <c r="M17" s="35"/>
      <c r="N17" s="35"/>
      <c r="O17" s="35"/>
      <c r="P17" s="35"/>
      <c r="Q17" s="35"/>
      <c r="R17" s="35"/>
      <c r="S17" s="35"/>
      <c r="T17" s="35"/>
      <c r="U17" s="35"/>
      <c r="V17" s="35"/>
      <c r="W17" s="35"/>
      <c r="X17" s="35"/>
      <c r="Y17" s="35"/>
      <c r="Z17" s="35"/>
    </row>
    <row r="18" ht="22.5" customHeight="1">
      <c r="A18" s="58"/>
      <c r="B18" s="56"/>
      <c r="C18" s="57"/>
      <c r="D18" s="50" t="s">
        <v>55</v>
      </c>
      <c r="E18" s="51">
        <f t="shared" si="1"/>
        <v>0</v>
      </c>
      <c r="F18" s="52">
        <f>IFERROR(ROUND(E18 / Totals[$ Subtotal], 4), 0)
</f>
        <v>0</v>
      </c>
      <c r="G18" s="51">
        <f>IFERROR(F18*(Totals[$ Tax Amount]+Totals[$ Tip Amount]), 0)
</f>
        <v>0</v>
      </c>
      <c r="H18" s="51">
        <f t="shared" si="2"/>
        <v>0</v>
      </c>
      <c r="I18" s="54" t="b">
        <v>0</v>
      </c>
      <c r="J18" s="55" t="str">
        <f t="shared" si="3"/>
        <v/>
      </c>
      <c r="K18" s="35"/>
      <c r="L18" s="35"/>
      <c r="M18" s="35"/>
      <c r="N18" s="35"/>
      <c r="O18" s="35"/>
      <c r="P18" s="35"/>
      <c r="Q18" s="35"/>
      <c r="R18" s="35"/>
      <c r="S18" s="35"/>
      <c r="T18" s="35"/>
      <c r="U18" s="35"/>
      <c r="V18" s="35"/>
      <c r="W18" s="35"/>
      <c r="X18" s="35"/>
      <c r="Y18" s="35"/>
      <c r="Z18" s="35"/>
    </row>
    <row r="19" ht="22.5" customHeight="1">
      <c r="A19" s="58"/>
      <c r="B19" s="56"/>
      <c r="C19" s="57"/>
      <c r="D19" s="50" t="s">
        <v>55</v>
      </c>
      <c r="E19" s="51">
        <f t="shared" si="1"/>
        <v>0</v>
      </c>
      <c r="F19" s="52">
        <f>IFERROR(ROUND(E19 / Totals[$ Subtotal], 4), 0)
</f>
        <v>0</v>
      </c>
      <c r="G19" s="51">
        <f>IFERROR(F19*(Totals[$ Tax Amount]+Totals[$ Tip Amount]), 0)
</f>
        <v>0</v>
      </c>
      <c r="H19" s="51">
        <f t="shared" si="2"/>
        <v>0</v>
      </c>
      <c r="I19" s="54" t="b">
        <v>0</v>
      </c>
      <c r="J19" s="55" t="str">
        <f t="shared" si="3"/>
        <v/>
      </c>
      <c r="K19" s="35"/>
      <c r="L19" s="35"/>
      <c r="M19" s="35"/>
      <c r="N19" s="35"/>
      <c r="O19" s="35"/>
      <c r="P19" s="35"/>
      <c r="Q19" s="35"/>
      <c r="R19" s="35"/>
      <c r="S19" s="35"/>
      <c r="T19" s="35"/>
      <c r="U19" s="35"/>
      <c r="V19" s="35"/>
      <c r="W19" s="35"/>
      <c r="X19" s="35"/>
      <c r="Y19" s="35"/>
      <c r="Z19" s="35"/>
    </row>
  </sheetData>
  <conditionalFormatting sqref="D8:D19">
    <cfRule type="colorScale" priority="1">
      <colorScale>
        <cfvo type="min"/>
        <cfvo type="max"/>
        <color rgb="FFFFFFFF"/>
        <color rgb="FF57BB8A"/>
      </colorScale>
    </cfRule>
  </conditionalFormatting>
  <conditionalFormatting sqref="J8:J19">
    <cfRule type="expression" dxfId="7" priority="2">
      <formula>AND(I8=FALSE,E8&lt;&gt;0)</formula>
    </cfRule>
  </conditionalFormatting>
  <dataValidations>
    <dataValidation type="decimal" allowBlank="1" showDropDown="1" showInputMessage="1" prompt="Enter a tip percentage between 0 and 100" sqref="B1">
      <formula1>0.0</formula1>
      <formula2>100.0</formula2>
    </dataValidation>
    <dataValidation type="custom" allowBlank="1" showDropDown="1" sqref="B4:E4 C8:C19 E8:G19">
      <formula1>AND(ISNUMBER(B4),(NOT(OR(NOT(ISERROR(DATEVALUE(B4))), AND(ISNUMBER(B4), LEFT(CELL("format", B4))="D")))))</formula1>
    </dataValidation>
    <dataValidation type="list" allowBlank="1" sqref="D8:D19">
      <formula1>"N/A,Solo,Appetizer,Treated"</formula1>
    </dataValidation>
    <dataValidation allowBlank="1" showDropDown="1" sqref="B8:B19"/>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4.5"/>
    <col customWidth="1" min="2" max="2" width="13.88"/>
    <col customWidth="1" min="3" max="3" width="12.25"/>
    <col customWidth="1" min="4" max="4" width="14.25"/>
    <col customWidth="1" min="5" max="5" width="12.5"/>
    <col customWidth="1" min="6" max="6" width="14.75"/>
    <col customWidth="1" min="7" max="7" width="12.13"/>
    <col customWidth="1" min="8" max="8" width="10.13"/>
    <col customWidth="1" min="9" max="9" width="11.0"/>
    <col customWidth="1" min="10" max="10" width="22.25"/>
    <col customWidth="1" min="11" max="11" width="15.88"/>
  </cols>
  <sheetData>
    <row r="1" ht="57.0" customHeight="1">
      <c r="A1" s="33" t="s">
        <v>56</v>
      </c>
      <c r="B1" s="34"/>
      <c r="C1" s="35"/>
      <c r="D1" s="35"/>
      <c r="E1" s="35"/>
      <c r="F1" s="35"/>
      <c r="G1" s="35"/>
      <c r="H1" s="35"/>
      <c r="I1" s="35"/>
      <c r="J1" s="35"/>
      <c r="K1" s="35"/>
      <c r="L1" s="35"/>
      <c r="M1" s="35"/>
      <c r="N1" s="35"/>
      <c r="O1" s="35"/>
      <c r="P1" s="35"/>
      <c r="Q1" s="35"/>
      <c r="R1" s="35"/>
      <c r="S1" s="35"/>
      <c r="T1" s="35"/>
      <c r="U1" s="35"/>
      <c r="V1" s="35"/>
      <c r="W1" s="35"/>
      <c r="X1" s="35"/>
      <c r="Y1" s="35"/>
      <c r="Z1" s="35"/>
      <c r="AA1" s="35"/>
    </row>
    <row r="2" outlineLevel="1">
      <c r="A2" s="36" t="s">
        <v>29</v>
      </c>
      <c r="B2" s="37"/>
      <c r="C2" s="37"/>
      <c r="D2" s="37"/>
      <c r="E2" s="37"/>
      <c r="F2" s="35"/>
      <c r="G2" s="35"/>
      <c r="H2" s="35"/>
      <c r="I2" s="35"/>
      <c r="J2" s="35"/>
      <c r="K2" s="35"/>
      <c r="L2" s="35"/>
      <c r="M2" s="35"/>
      <c r="N2" s="35"/>
      <c r="O2" s="35"/>
      <c r="P2" s="35"/>
      <c r="Q2" s="35"/>
      <c r="R2" s="35"/>
      <c r="S2" s="35"/>
      <c r="T2" s="35"/>
      <c r="U2" s="35"/>
      <c r="V2" s="35"/>
      <c r="W2" s="35"/>
      <c r="X2" s="35"/>
      <c r="Y2" s="35"/>
      <c r="Z2" s="35"/>
      <c r="AA2" s="35"/>
    </row>
    <row r="3" ht="22.5" customHeight="1" outlineLevel="1">
      <c r="A3" s="38" t="s">
        <v>30</v>
      </c>
      <c r="B3" s="39" t="s">
        <v>31</v>
      </c>
      <c r="C3" s="39" t="s">
        <v>32</v>
      </c>
      <c r="D3" s="40" t="s">
        <v>33</v>
      </c>
      <c r="E3" s="39" t="s">
        <v>34</v>
      </c>
      <c r="F3" s="35"/>
      <c r="G3" s="35"/>
      <c r="H3" s="35"/>
      <c r="I3" s="35"/>
      <c r="J3" s="35"/>
      <c r="K3" s="35"/>
      <c r="L3" s="35"/>
      <c r="M3" s="35"/>
      <c r="N3" s="35"/>
      <c r="O3" s="35"/>
      <c r="P3" s="35"/>
      <c r="Q3" s="35"/>
      <c r="R3" s="35"/>
      <c r="S3" s="35"/>
      <c r="T3" s="35"/>
      <c r="U3" s="35"/>
      <c r="V3" s="35"/>
      <c r="W3" s="35"/>
      <c r="X3" s="35"/>
      <c r="Y3" s="35"/>
      <c r="Z3" s="35"/>
      <c r="AA3" s="35"/>
    </row>
    <row r="4" ht="22.5" customHeight="1" outlineLevel="1">
      <c r="A4" s="36" t="s">
        <v>35</v>
      </c>
      <c r="B4" s="41"/>
      <c r="C4" s="41"/>
      <c r="D4" s="42">
        <f>SUM(Food_Ordered_2[$ Dish Price])</f>
        <v>0</v>
      </c>
      <c r="E4" s="43">
        <f>ROUND(SUM(H:H),4)</f>
        <v>0</v>
      </c>
      <c r="F4" s="35"/>
      <c r="G4" s="35"/>
      <c r="H4" s="35"/>
      <c r="I4" s="35"/>
      <c r="J4" s="35"/>
      <c r="K4" s="35"/>
      <c r="L4" s="35"/>
      <c r="M4" s="35"/>
      <c r="N4" s="35"/>
      <c r="O4" s="35"/>
      <c r="P4" s="35"/>
      <c r="Q4" s="35"/>
      <c r="R4" s="35"/>
      <c r="S4" s="35"/>
      <c r="T4" s="35"/>
      <c r="U4" s="35"/>
      <c r="V4" s="35"/>
      <c r="W4" s="35"/>
      <c r="X4" s="35"/>
      <c r="Y4" s="35"/>
      <c r="Z4" s="35"/>
      <c r="AA4" s="35"/>
    </row>
    <row r="5" ht="22.5" customHeight="1">
      <c r="A5" s="36" t="s">
        <v>36</v>
      </c>
      <c r="B5" s="44">
        <f>IFERROR("("&amp;TEXT(SUM(Totals_2[$ Tax Amount]/Totals_2[$ Subtotal]),"#,##0.00%")&amp;")",0)</f>
        <v>0</v>
      </c>
      <c r="C5" s="44">
        <f>IFERROR("("&amp;TEXT(SUM(Totals_2[$ Tip Amount]/Totals_2[$ Subtotal]),"#,##0.00%")&amp;")",0)</f>
        <v>0</v>
      </c>
      <c r="D5" s="45"/>
      <c r="E5" s="45"/>
      <c r="F5" s="35"/>
      <c r="G5" s="35"/>
      <c r="H5" s="35"/>
      <c r="I5" s="35"/>
      <c r="J5" s="35"/>
      <c r="K5" s="35"/>
      <c r="L5" s="35"/>
      <c r="M5" s="35"/>
      <c r="N5" s="35"/>
      <c r="O5" s="35"/>
      <c r="P5" s="35"/>
      <c r="Q5" s="35"/>
      <c r="R5" s="35"/>
      <c r="S5" s="35"/>
      <c r="T5" s="35"/>
      <c r="U5" s="35"/>
      <c r="V5" s="35"/>
      <c r="W5" s="35"/>
      <c r="X5" s="35"/>
      <c r="Y5" s="35"/>
      <c r="Z5" s="35"/>
      <c r="AA5" s="35"/>
    </row>
    <row r="6">
      <c r="A6" s="35"/>
      <c r="B6" s="35"/>
      <c r="C6" s="35"/>
      <c r="D6" s="35"/>
      <c r="E6" s="35"/>
      <c r="F6" s="35"/>
      <c r="G6" s="36"/>
      <c r="H6" s="35"/>
      <c r="I6" s="35"/>
      <c r="J6" s="35"/>
      <c r="K6" s="35"/>
      <c r="L6" s="35"/>
      <c r="M6" s="35"/>
      <c r="N6" s="35"/>
      <c r="O6" s="35"/>
      <c r="P6" s="35"/>
      <c r="Q6" s="35"/>
      <c r="R6" s="35"/>
      <c r="S6" s="35"/>
      <c r="T6" s="35"/>
      <c r="U6" s="35"/>
      <c r="V6" s="35"/>
      <c r="W6" s="35"/>
      <c r="X6" s="35"/>
      <c r="Y6" s="35"/>
      <c r="Z6" s="35"/>
      <c r="AA6" s="35"/>
    </row>
    <row r="7" ht="22.5" customHeight="1">
      <c r="A7" s="46" t="s">
        <v>37</v>
      </c>
      <c r="B7" s="46" t="s">
        <v>38</v>
      </c>
      <c r="C7" s="46" t="s">
        <v>39</v>
      </c>
      <c r="D7" s="46" t="s">
        <v>40</v>
      </c>
      <c r="E7" s="46" t="s">
        <v>12</v>
      </c>
      <c r="F7" s="47" t="s">
        <v>14</v>
      </c>
      <c r="G7" s="39" t="s">
        <v>16</v>
      </c>
      <c r="H7" s="39" t="s">
        <v>18</v>
      </c>
      <c r="I7" s="39" t="s">
        <v>41</v>
      </c>
      <c r="J7" s="39" t="s">
        <v>20</v>
      </c>
      <c r="K7" s="35"/>
      <c r="L7" s="35"/>
      <c r="M7" s="35"/>
      <c r="N7" s="35"/>
      <c r="O7" s="35"/>
      <c r="P7" s="35"/>
      <c r="Q7" s="35"/>
      <c r="R7" s="35"/>
      <c r="S7" s="35"/>
      <c r="T7" s="35"/>
      <c r="U7" s="35"/>
      <c r="V7" s="35"/>
      <c r="W7" s="35"/>
      <c r="X7" s="35"/>
      <c r="Y7" s="35"/>
      <c r="Z7" s="35"/>
    </row>
    <row r="8" ht="22.5" customHeight="1">
      <c r="A8" s="48"/>
      <c r="B8" s="49"/>
      <c r="C8" s="41"/>
      <c r="D8" s="59" t="s">
        <v>55</v>
      </c>
      <c r="E8" s="51">
        <f t="shared" ref="E8:E27" si="1">IF(OR(D8="Appetizer", D8="Treated",D8="N/A"), 0, SUMIF(A$8:A27, A8, C$8:C27) + (SUMIF(D$8:D27, "Appetizer", C$8:C27) + SUMIF(D$8:D27, "Treated", C$8:C27)) / COUNTIF(D$8:D27, "Solo"))
</f>
        <v>0</v>
      </c>
      <c r="F8" s="52">
        <f>IFERROR(ROUND(E8 / Totals_2[$ Subtotal], 4), 0)
</f>
        <v>0</v>
      </c>
      <c r="G8" s="53">
        <f>IFERROR(F8*(Totals_2[$ Tax Amount]+Totals_2[$ Tip Amount]), 0)
</f>
        <v>0</v>
      </c>
      <c r="H8" s="51">
        <f t="shared" ref="H8:H27" si="2">E8+G8</f>
        <v>0</v>
      </c>
      <c r="I8" s="54" t="b">
        <v>0</v>
      </c>
      <c r="J8" s="55" t="str">
        <f t="shared" ref="J8:J27" si="3">IF(E8=0,"",A8 &amp; " ($" &amp; TEXT(H8, "#,##0.00") &amp; ") " &amp; IF(I8=TRUE, "✅", "❌"))</f>
        <v/>
      </c>
      <c r="K8" s="35"/>
      <c r="L8" s="35"/>
      <c r="M8" s="35"/>
      <c r="N8" s="35"/>
      <c r="O8" s="35"/>
      <c r="P8" s="35"/>
      <c r="Q8" s="35"/>
      <c r="R8" s="35"/>
      <c r="S8" s="35"/>
      <c r="T8" s="35"/>
      <c r="U8" s="35"/>
      <c r="V8" s="35"/>
      <c r="W8" s="35"/>
      <c r="X8" s="35"/>
      <c r="Y8" s="35"/>
      <c r="Z8" s="35"/>
    </row>
    <row r="9" ht="22.5" customHeight="1">
      <c r="A9" s="48"/>
      <c r="B9" s="49"/>
      <c r="C9" s="41"/>
      <c r="D9" s="59" t="s">
        <v>55</v>
      </c>
      <c r="E9" s="51">
        <f t="shared" si="1"/>
        <v>0</v>
      </c>
      <c r="F9" s="52">
        <f>IFERROR(ROUND(E9 / Totals_2[$ Subtotal], 4), 0)
</f>
        <v>0</v>
      </c>
      <c r="G9" s="51">
        <f>IFERROR(F9*(Totals_2[$ Tax Amount]+Totals_2[$ Tip Amount]), 0)
</f>
        <v>0</v>
      </c>
      <c r="H9" s="51">
        <f t="shared" si="2"/>
        <v>0</v>
      </c>
      <c r="I9" s="54" t="b">
        <v>0</v>
      </c>
      <c r="J9" s="55" t="str">
        <f t="shared" si="3"/>
        <v/>
      </c>
      <c r="K9" s="35"/>
      <c r="L9" s="35"/>
      <c r="M9" s="35"/>
      <c r="N9" s="35"/>
      <c r="O9" s="35"/>
      <c r="P9" s="35"/>
      <c r="Q9" s="35"/>
      <c r="R9" s="35"/>
      <c r="S9" s="35"/>
      <c r="T9" s="35"/>
      <c r="U9" s="35"/>
      <c r="V9" s="35"/>
      <c r="W9" s="35"/>
      <c r="X9" s="35"/>
      <c r="Y9" s="35"/>
      <c r="Z9" s="35"/>
    </row>
    <row r="10" ht="22.5" customHeight="1">
      <c r="A10" s="48"/>
      <c r="B10" s="49"/>
      <c r="C10" s="41"/>
      <c r="D10" s="59" t="s">
        <v>55</v>
      </c>
      <c r="E10" s="51">
        <f t="shared" si="1"/>
        <v>0</v>
      </c>
      <c r="F10" s="52">
        <f>IFERROR(ROUND(E10 / Totals_2[$ Subtotal], 4), 0)
</f>
        <v>0</v>
      </c>
      <c r="G10" s="53">
        <f>IFERROR(F10*(Totals_2[$ Tax Amount]+Totals_2[$ Tip Amount]), 0)
</f>
        <v>0</v>
      </c>
      <c r="H10" s="51">
        <f t="shared" si="2"/>
        <v>0</v>
      </c>
      <c r="I10" s="54" t="b">
        <v>0</v>
      </c>
      <c r="J10" s="55" t="str">
        <f t="shared" si="3"/>
        <v/>
      </c>
      <c r="K10" s="35"/>
      <c r="L10" s="35"/>
      <c r="M10" s="35"/>
      <c r="N10" s="35"/>
      <c r="O10" s="35"/>
      <c r="P10" s="35"/>
      <c r="Q10" s="35"/>
      <c r="R10" s="35"/>
      <c r="S10" s="35"/>
      <c r="T10" s="35"/>
      <c r="U10" s="35"/>
      <c r="V10" s="35"/>
      <c r="W10" s="35"/>
      <c r="X10" s="35"/>
      <c r="Y10" s="35"/>
      <c r="Z10" s="35"/>
    </row>
    <row r="11" ht="22.5" customHeight="1">
      <c r="A11" s="48"/>
      <c r="B11" s="49"/>
      <c r="C11" s="41"/>
      <c r="D11" s="59" t="s">
        <v>55</v>
      </c>
      <c r="E11" s="51">
        <f t="shared" si="1"/>
        <v>0</v>
      </c>
      <c r="F11" s="52">
        <f>IFERROR(ROUND(E11 / Totals_2[$ Subtotal], 4), 0)
</f>
        <v>0</v>
      </c>
      <c r="G11" s="51">
        <f>IFERROR(F11*(Totals_2[$ Tax Amount]+Totals_2[$ Tip Amount]), 0)
</f>
        <v>0</v>
      </c>
      <c r="H11" s="51">
        <f t="shared" si="2"/>
        <v>0</v>
      </c>
      <c r="I11" s="54" t="b">
        <v>0</v>
      </c>
      <c r="J11" s="55" t="str">
        <f t="shared" si="3"/>
        <v/>
      </c>
      <c r="K11" s="35"/>
      <c r="L11" s="35"/>
      <c r="M11" s="35"/>
      <c r="N11" s="35"/>
      <c r="O11" s="35"/>
      <c r="P11" s="35"/>
      <c r="Q11" s="35"/>
      <c r="R11" s="35"/>
      <c r="S11" s="35"/>
      <c r="T11" s="35"/>
      <c r="U11" s="35"/>
      <c r="V11" s="35"/>
      <c r="W11" s="35"/>
      <c r="X11" s="35"/>
      <c r="Y11" s="35"/>
      <c r="Z11" s="35"/>
    </row>
    <row r="12" ht="22.5" customHeight="1">
      <c r="A12" s="48"/>
      <c r="B12" s="49"/>
      <c r="C12" s="41"/>
      <c r="D12" s="59" t="s">
        <v>55</v>
      </c>
      <c r="E12" s="51">
        <f t="shared" si="1"/>
        <v>0</v>
      </c>
      <c r="F12" s="52">
        <f>IFERROR(ROUND(E12 / Totals_2[$ Subtotal], 4), 0)
</f>
        <v>0</v>
      </c>
      <c r="G12" s="51">
        <f>IFERROR(F12*(Totals_2[$ Tax Amount]+Totals_2[$ Tip Amount]), 0)
</f>
        <v>0</v>
      </c>
      <c r="H12" s="51">
        <f t="shared" si="2"/>
        <v>0</v>
      </c>
      <c r="I12" s="54" t="b">
        <v>0</v>
      </c>
      <c r="J12" s="55" t="str">
        <f t="shared" si="3"/>
        <v/>
      </c>
      <c r="K12" s="35"/>
      <c r="L12" s="35"/>
      <c r="M12" s="35"/>
      <c r="N12" s="35"/>
      <c r="O12" s="35"/>
      <c r="P12" s="35"/>
      <c r="Q12" s="35"/>
      <c r="R12" s="35"/>
      <c r="S12" s="35"/>
      <c r="T12" s="35"/>
      <c r="U12" s="35"/>
      <c r="V12" s="35"/>
      <c r="W12" s="35"/>
      <c r="X12" s="35"/>
      <c r="Y12" s="35"/>
      <c r="Z12" s="35"/>
    </row>
    <row r="13" ht="22.5" customHeight="1">
      <c r="A13" s="58"/>
      <c r="B13" s="49"/>
      <c r="C13" s="41"/>
      <c r="D13" s="59" t="s">
        <v>55</v>
      </c>
      <c r="E13" s="51">
        <f t="shared" si="1"/>
        <v>0</v>
      </c>
      <c r="F13" s="52">
        <f>IFERROR(ROUND(E13 / Totals_2[$ Subtotal], 4), 0)
</f>
        <v>0</v>
      </c>
      <c r="G13" s="51">
        <f>IFERROR(F13*(Totals_2[$ Tax Amount]+Totals_2[$ Tip Amount]), 0)
</f>
        <v>0</v>
      </c>
      <c r="H13" s="51">
        <f t="shared" si="2"/>
        <v>0</v>
      </c>
      <c r="I13" s="54" t="b">
        <v>0</v>
      </c>
      <c r="J13" s="55" t="str">
        <f t="shared" si="3"/>
        <v/>
      </c>
      <c r="K13" s="35"/>
      <c r="L13" s="35"/>
      <c r="M13" s="35"/>
      <c r="N13" s="35"/>
      <c r="O13" s="35"/>
      <c r="P13" s="35"/>
      <c r="Q13" s="35"/>
      <c r="R13" s="35"/>
      <c r="S13" s="35"/>
      <c r="T13" s="35"/>
      <c r="U13" s="35"/>
      <c r="V13" s="35"/>
      <c r="W13" s="35"/>
      <c r="X13" s="35"/>
      <c r="Y13" s="35"/>
      <c r="Z13" s="35"/>
    </row>
    <row r="14" ht="22.5" customHeight="1">
      <c r="A14" s="58"/>
      <c r="B14" s="49"/>
      <c r="C14" s="41"/>
      <c r="D14" s="59" t="s">
        <v>55</v>
      </c>
      <c r="E14" s="51">
        <f t="shared" si="1"/>
        <v>0</v>
      </c>
      <c r="F14" s="52">
        <f>IFERROR(ROUND(E14 / Totals_2[$ Subtotal], 4), 0)
</f>
        <v>0</v>
      </c>
      <c r="G14" s="51">
        <f>IFERROR(F14*(Totals_2[$ Tax Amount]+Totals_2[$ Tip Amount]), 0)
</f>
        <v>0</v>
      </c>
      <c r="H14" s="51">
        <f t="shared" si="2"/>
        <v>0</v>
      </c>
      <c r="I14" s="54" t="b">
        <v>0</v>
      </c>
      <c r="J14" s="55" t="str">
        <f t="shared" si="3"/>
        <v/>
      </c>
      <c r="K14" s="35"/>
      <c r="L14" s="35"/>
      <c r="M14" s="35"/>
      <c r="N14" s="35"/>
      <c r="O14" s="35"/>
      <c r="P14" s="35"/>
      <c r="Q14" s="35"/>
      <c r="R14" s="35"/>
      <c r="S14" s="35"/>
      <c r="T14" s="35"/>
      <c r="U14" s="35"/>
      <c r="V14" s="35"/>
      <c r="W14" s="35"/>
      <c r="X14" s="35"/>
      <c r="Y14" s="35"/>
      <c r="Z14" s="35"/>
    </row>
    <row r="15" ht="22.5" customHeight="1">
      <c r="A15" s="58"/>
      <c r="B15" s="49"/>
      <c r="C15" s="41"/>
      <c r="D15" s="59" t="s">
        <v>55</v>
      </c>
      <c r="E15" s="51">
        <f t="shared" si="1"/>
        <v>0</v>
      </c>
      <c r="F15" s="52">
        <f>IFERROR(ROUND(E15 / Totals_2[$ Subtotal], 4), 0)
</f>
        <v>0</v>
      </c>
      <c r="G15" s="51">
        <f>IFERROR(F15*(Totals_2[$ Tax Amount]+Totals_2[$ Tip Amount]), 0)
</f>
        <v>0</v>
      </c>
      <c r="H15" s="51">
        <f t="shared" si="2"/>
        <v>0</v>
      </c>
      <c r="I15" s="54" t="b">
        <v>0</v>
      </c>
      <c r="J15" s="55" t="str">
        <f t="shared" si="3"/>
        <v/>
      </c>
      <c r="K15" s="35"/>
      <c r="L15" s="35"/>
      <c r="M15" s="35"/>
      <c r="N15" s="35"/>
      <c r="O15" s="35"/>
      <c r="P15" s="35"/>
      <c r="Q15" s="35"/>
      <c r="R15" s="35"/>
      <c r="S15" s="35"/>
      <c r="T15" s="35"/>
      <c r="U15" s="35"/>
      <c r="V15" s="35"/>
      <c r="W15" s="35"/>
      <c r="X15" s="35"/>
      <c r="Y15" s="35"/>
      <c r="Z15" s="35"/>
    </row>
    <row r="16" ht="22.5" customHeight="1">
      <c r="A16" s="48"/>
      <c r="B16" s="49"/>
      <c r="C16" s="41"/>
      <c r="D16" s="59" t="s">
        <v>55</v>
      </c>
      <c r="E16" s="51">
        <f t="shared" si="1"/>
        <v>0</v>
      </c>
      <c r="F16" s="52">
        <f>IFERROR(ROUND(E16 / Totals_2[$ Subtotal], 4), 0)
</f>
        <v>0</v>
      </c>
      <c r="G16" s="51">
        <f>IFERROR(F16*(Totals_2[$ Tax Amount]+Totals_2[$ Tip Amount]), 0)
</f>
        <v>0</v>
      </c>
      <c r="H16" s="51">
        <f t="shared" si="2"/>
        <v>0</v>
      </c>
      <c r="I16" s="54" t="b">
        <v>0</v>
      </c>
      <c r="J16" s="55" t="str">
        <f t="shared" si="3"/>
        <v/>
      </c>
      <c r="K16" s="35"/>
      <c r="L16" s="35"/>
      <c r="M16" s="35"/>
      <c r="N16" s="35"/>
      <c r="O16" s="35"/>
      <c r="P16" s="35"/>
      <c r="Q16" s="35"/>
      <c r="R16" s="35"/>
      <c r="S16" s="35"/>
      <c r="T16" s="35"/>
      <c r="U16" s="35"/>
      <c r="V16" s="35"/>
      <c r="W16" s="35"/>
      <c r="X16" s="35"/>
      <c r="Y16" s="35"/>
      <c r="Z16" s="35"/>
    </row>
    <row r="17" ht="22.5" customHeight="1">
      <c r="A17" s="48"/>
      <c r="B17" s="56"/>
      <c r="C17" s="41"/>
      <c r="D17" s="59" t="s">
        <v>55</v>
      </c>
      <c r="E17" s="51">
        <f t="shared" si="1"/>
        <v>0</v>
      </c>
      <c r="F17" s="52">
        <f>IFERROR(ROUND(E17 / Totals_2[$ Subtotal], 4), 0)
</f>
        <v>0</v>
      </c>
      <c r="G17" s="51">
        <f>IFERROR(F17*(Totals_2[$ Tax Amount]+Totals_2[$ Tip Amount]), 0)
</f>
        <v>0</v>
      </c>
      <c r="H17" s="51">
        <f t="shared" si="2"/>
        <v>0</v>
      </c>
      <c r="I17" s="54" t="b">
        <v>0</v>
      </c>
      <c r="J17" s="55" t="str">
        <f t="shared" si="3"/>
        <v/>
      </c>
      <c r="K17" s="35"/>
      <c r="L17" s="35"/>
      <c r="M17" s="35"/>
      <c r="N17" s="35"/>
      <c r="O17" s="35"/>
      <c r="P17" s="35"/>
      <c r="Q17" s="35"/>
      <c r="R17" s="35"/>
      <c r="S17" s="35"/>
      <c r="T17" s="35"/>
      <c r="U17" s="35"/>
      <c r="V17" s="35"/>
      <c r="W17" s="35"/>
      <c r="X17" s="35"/>
      <c r="Y17" s="35"/>
      <c r="Z17" s="35"/>
    </row>
    <row r="18" ht="22.5" customHeight="1">
      <c r="A18" s="48"/>
      <c r="B18" s="49"/>
      <c r="C18" s="41"/>
      <c r="D18" s="59" t="s">
        <v>55</v>
      </c>
      <c r="E18" s="51">
        <f t="shared" si="1"/>
        <v>0</v>
      </c>
      <c r="F18" s="52">
        <f>IFERROR(ROUND(E18 / Totals_2[$ Subtotal], 4), 0)
</f>
        <v>0</v>
      </c>
      <c r="G18" s="51">
        <f>IFERROR(F18*(Totals_2[$ Tax Amount]+Totals_2[$ Tip Amount]), 0)
</f>
        <v>0</v>
      </c>
      <c r="H18" s="51">
        <f t="shared" si="2"/>
        <v>0</v>
      </c>
      <c r="I18" s="54" t="b">
        <v>0</v>
      </c>
      <c r="J18" s="55" t="str">
        <f t="shared" si="3"/>
        <v/>
      </c>
      <c r="K18" s="35"/>
      <c r="L18" s="35"/>
      <c r="M18" s="35"/>
      <c r="N18" s="35"/>
      <c r="O18" s="35"/>
      <c r="P18" s="35"/>
      <c r="Q18" s="35"/>
      <c r="R18" s="35"/>
      <c r="S18" s="35"/>
      <c r="T18" s="35"/>
      <c r="U18" s="35"/>
      <c r="V18" s="35"/>
      <c r="W18" s="35"/>
      <c r="X18" s="35"/>
      <c r="Y18" s="35"/>
      <c r="Z18" s="35"/>
    </row>
    <row r="19" ht="22.5" customHeight="1">
      <c r="A19" s="48"/>
      <c r="B19" s="49"/>
      <c r="C19" s="41"/>
      <c r="D19" s="59" t="s">
        <v>55</v>
      </c>
      <c r="E19" s="51">
        <f t="shared" si="1"/>
        <v>0</v>
      </c>
      <c r="F19" s="52">
        <f>IFERROR(ROUND(E19 / Totals_2[$ Subtotal], 4), 0)
</f>
        <v>0</v>
      </c>
      <c r="G19" s="51">
        <f>IFERROR(F19*(Totals_2[$ Tax Amount]+Totals_2[$ Tip Amount]), 0)
</f>
        <v>0</v>
      </c>
      <c r="H19" s="51">
        <f t="shared" si="2"/>
        <v>0</v>
      </c>
      <c r="I19" s="54" t="b">
        <v>0</v>
      </c>
      <c r="J19" s="55" t="str">
        <f t="shared" si="3"/>
        <v/>
      </c>
      <c r="K19" s="35"/>
      <c r="L19" s="35"/>
      <c r="M19" s="35"/>
      <c r="N19" s="35"/>
      <c r="O19" s="35"/>
      <c r="P19" s="35"/>
      <c r="Q19" s="35"/>
      <c r="R19" s="35"/>
      <c r="S19" s="35"/>
      <c r="T19" s="35"/>
      <c r="U19" s="35"/>
      <c r="V19" s="35"/>
      <c r="W19" s="35"/>
      <c r="X19" s="35"/>
      <c r="Y19" s="35"/>
      <c r="Z19" s="35"/>
    </row>
    <row r="20" ht="22.5" customHeight="1">
      <c r="A20" s="48"/>
      <c r="B20" s="49"/>
      <c r="C20" s="41"/>
      <c r="D20" s="59" t="s">
        <v>55</v>
      </c>
      <c r="E20" s="51">
        <f t="shared" si="1"/>
        <v>0</v>
      </c>
      <c r="F20" s="52">
        <f>IFERROR(ROUND(E20 / Totals_2[$ Subtotal], 4), 0)
</f>
        <v>0</v>
      </c>
      <c r="G20" s="51">
        <f>IFERROR(F20*(Totals_2[$ Tax Amount]+Totals_2[$ Tip Amount]), 0)
</f>
        <v>0</v>
      </c>
      <c r="H20" s="51">
        <f t="shared" si="2"/>
        <v>0</v>
      </c>
      <c r="I20" s="54" t="b">
        <v>0</v>
      </c>
      <c r="J20" s="55" t="str">
        <f t="shared" si="3"/>
        <v/>
      </c>
      <c r="K20" s="35"/>
      <c r="L20" s="35"/>
      <c r="M20" s="35"/>
      <c r="N20" s="35"/>
      <c r="O20" s="35"/>
      <c r="P20" s="35"/>
      <c r="Q20" s="35"/>
      <c r="R20" s="35"/>
      <c r="S20" s="35"/>
      <c r="T20" s="35"/>
      <c r="U20" s="35"/>
      <c r="V20" s="35"/>
      <c r="W20" s="35"/>
      <c r="X20" s="35"/>
      <c r="Y20" s="35"/>
      <c r="Z20" s="35"/>
    </row>
    <row r="21" ht="22.5" customHeight="1">
      <c r="A21" s="48"/>
      <c r="B21" s="49"/>
      <c r="C21" s="41"/>
      <c r="D21" s="59" t="s">
        <v>55</v>
      </c>
      <c r="E21" s="51">
        <f t="shared" si="1"/>
        <v>0</v>
      </c>
      <c r="F21" s="52">
        <f>IFERROR(ROUND(E21 / Totals_2[$ Subtotal], 4), 0)
</f>
        <v>0</v>
      </c>
      <c r="G21" s="51">
        <f>IFERROR(F21*(Totals_2[$ Tax Amount]+Totals_2[$ Tip Amount]), 0)
</f>
        <v>0</v>
      </c>
      <c r="H21" s="51">
        <f t="shared" si="2"/>
        <v>0</v>
      </c>
      <c r="I21" s="54" t="b">
        <v>0</v>
      </c>
      <c r="J21" s="55" t="str">
        <f t="shared" si="3"/>
        <v/>
      </c>
      <c r="K21" s="35"/>
      <c r="L21" s="35"/>
      <c r="M21" s="35"/>
      <c r="N21" s="35"/>
      <c r="O21" s="35"/>
      <c r="P21" s="35"/>
      <c r="Q21" s="35"/>
      <c r="R21" s="35"/>
      <c r="S21" s="35"/>
      <c r="T21" s="35"/>
      <c r="U21" s="35"/>
      <c r="V21" s="35"/>
      <c r="W21" s="35"/>
      <c r="X21" s="35"/>
      <c r="Y21" s="35"/>
      <c r="Z21" s="35"/>
    </row>
    <row r="22" ht="22.5" customHeight="1">
      <c r="A22" s="48"/>
      <c r="B22" s="49"/>
      <c r="C22" s="41"/>
      <c r="D22" s="59" t="s">
        <v>55</v>
      </c>
      <c r="E22" s="51">
        <f t="shared" si="1"/>
        <v>0</v>
      </c>
      <c r="F22" s="52">
        <f>IFERROR(ROUND(E22 / Totals_2[$ Subtotal], 4), 0)
</f>
        <v>0</v>
      </c>
      <c r="G22" s="51">
        <f>IFERROR(F22*(Totals_2[$ Tax Amount]+Totals_2[$ Tip Amount]), 0)
</f>
        <v>0</v>
      </c>
      <c r="H22" s="51">
        <f t="shared" si="2"/>
        <v>0</v>
      </c>
      <c r="I22" s="54" t="b">
        <v>0</v>
      </c>
      <c r="J22" s="55" t="str">
        <f t="shared" si="3"/>
        <v/>
      </c>
      <c r="K22" s="35"/>
      <c r="L22" s="35"/>
      <c r="M22" s="35"/>
      <c r="N22" s="35"/>
      <c r="O22" s="35"/>
      <c r="P22" s="35"/>
      <c r="Q22" s="35"/>
      <c r="R22" s="35"/>
      <c r="S22" s="35"/>
      <c r="T22" s="35"/>
      <c r="U22" s="35"/>
      <c r="V22" s="35"/>
      <c r="W22" s="35"/>
      <c r="X22" s="35"/>
      <c r="Y22" s="35"/>
      <c r="Z22" s="35"/>
    </row>
    <row r="23" ht="22.5" customHeight="1">
      <c r="A23" s="48"/>
      <c r="B23" s="56"/>
      <c r="C23" s="41"/>
      <c r="D23" s="59" t="s">
        <v>55</v>
      </c>
      <c r="E23" s="51">
        <f t="shared" si="1"/>
        <v>0</v>
      </c>
      <c r="F23" s="52">
        <f>IFERROR(ROUND(E23 / Totals_2[$ Subtotal], 4), 0)
</f>
        <v>0</v>
      </c>
      <c r="G23" s="51">
        <f>IFERROR(F23*(Totals_2[$ Tax Amount]+Totals_2[$ Tip Amount]), 0)
</f>
        <v>0</v>
      </c>
      <c r="H23" s="51">
        <f t="shared" si="2"/>
        <v>0</v>
      </c>
      <c r="I23" s="54" t="b">
        <v>0</v>
      </c>
      <c r="J23" s="55" t="str">
        <f t="shared" si="3"/>
        <v/>
      </c>
      <c r="K23" s="35"/>
      <c r="L23" s="35"/>
      <c r="M23" s="35"/>
      <c r="N23" s="35"/>
      <c r="O23" s="35"/>
      <c r="P23" s="35"/>
      <c r="Q23" s="35"/>
      <c r="R23" s="35"/>
      <c r="S23" s="35"/>
      <c r="T23" s="35"/>
      <c r="U23" s="35"/>
      <c r="V23" s="35"/>
      <c r="W23" s="35"/>
      <c r="X23" s="35"/>
      <c r="Y23" s="35"/>
      <c r="Z23" s="35"/>
    </row>
    <row r="24" ht="22.5" customHeight="1">
      <c r="A24" s="58"/>
      <c r="B24" s="56"/>
      <c r="C24" s="57"/>
      <c r="D24" s="59" t="s">
        <v>55</v>
      </c>
      <c r="E24" s="51">
        <f t="shared" si="1"/>
        <v>0</v>
      </c>
      <c r="F24" s="52">
        <f>IFERROR(ROUND(E24 / Totals_2[$ Subtotal], 4), 0)
</f>
        <v>0</v>
      </c>
      <c r="G24" s="51">
        <f>IFERROR(F24*(Totals_2[$ Tax Amount]+Totals_2[$ Tip Amount]), 0)
</f>
        <v>0</v>
      </c>
      <c r="H24" s="51">
        <f t="shared" si="2"/>
        <v>0</v>
      </c>
      <c r="I24" s="54" t="b">
        <v>0</v>
      </c>
      <c r="J24" s="55" t="str">
        <f t="shared" si="3"/>
        <v/>
      </c>
      <c r="K24" s="35"/>
      <c r="L24" s="35"/>
      <c r="M24" s="35"/>
      <c r="N24" s="35"/>
      <c r="O24" s="35"/>
      <c r="P24" s="35"/>
      <c r="Q24" s="35"/>
      <c r="R24" s="35"/>
      <c r="S24" s="35"/>
      <c r="T24" s="35"/>
      <c r="U24" s="35"/>
      <c r="V24" s="35"/>
      <c r="W24" s="35"/>
      <c r="X24" s="35"/>
      <c r="Y24" s="35"/>
      <c r="Z24" s="35"/>
    </row>
    <row r="25" ht="22.5" customHeight="1">
      <c r="A25" s="58"/>
      <c r="B25" s="56"/>
      <c r="C25" s="57"/>
      <c r="D25" s="59" t="s">
        <v>55</v>
      </c>
      <c r="E25" s="51">
        <f t="shared" si="1"/>
        <v>0</v>
      </c>
      <c r="F25" s="52">
        <f>IFERROR(ROUND(E25 / Totals_2[$ Subtotal], 4), 0)
</f>
        <v>0</v>
      </c>
      <c r="G25" s="51">
        <f>IFERROR(F25*(Totals_2[$ Tax Amount]+Totals_2[$ Tip Amount]), 0)
</f>
        <v>0</v>
      </c>
      <c r="H25" s="51">
        <f t="shared" si="2"/>
        <v>0</v>
      </c>
      <c r="I25" s="54" t="b">
        <v>0</v>
      </c>
      <c r="J25" s="55" t="str">
        <f t="shared" si="3"/>
        <v/>
      </c>
      <c r="K25" s="35"/>
      <c r="L25" s="35"/>
      <c r="M25" s="35"/>
      <c r="N25" s="35"/>
      <c r="O25" s="35"/>
      <c r="P25" s="35"/>
      <c r="Q25" s="35"/>
      <c r="R25" s="35"/>
      <c r="S25" s="35"/>
      <c r="T25" s="35"/>
      <c r="U25" s="35"/>
      <c r="V25" s="35"/>
      <c r="W25" s="35"/>
      <c r="X25" s="35"/>
      <c r="Y25" s="35"/>
      <c r="Z25" s="35"/>
    </row>
    <row r="26" ht="22.5" customHeight="1">
      <c r="A26" s="58"/>
      <c r="B26" s="56"/>
      <c r="C26" s="57"/>
      <c r="D26" s="59" t="s">
        <v>55</v>
      </c>
      <c r="E26" s="51">
        <f t="shared" si="1"/>
        <v>0</v>
      </c>
      <c r="F26" s="52">
        <f>IFERROR(ROUND(E26 / Totals_2[$ Subtotal], 4), 0)
</f>
        <v>0</v>
      </c>
      <c r="G26" s="51">
        <f>IFERROR(F26*(Totals_2[$ Tax Amount]+Totals_2[$ Tip Amount]), 0)
</f>
        <v>0</v>
      </c>
      <c r="H26" s="51">
        <f t="shared" si="2"/>
        <v>0</v>
      </c>
      <c r="I26" s="54" t="b">
        <v>0</v>
      </c>
      <c r="J26" s="55" t="str">
        <f t="shared" si="3"/>
        <v/>
      </c>
      <c r="K26" s="35"/>
      <c r="L26" s="35"/>
      <c r="M26" s="35"/>
      <c r="N26" s="35"/>
      <c r="O26" s="35"/>
      <c r="P26" s="35"/>
      <c r="Q26" s="35"/>
      <c r="R26" s="35"/>
      <c r="S26" s="35"/>
      <c r="T26" s="35"/>
      <c r="U26" s="35"/>
      <c r="V26" s="35"/>
      <c r="W26" s="35"/>
      <c r="X26" s="35"/>
      <c r="Y26" s="35"/>
      <c r="Z26" s="35"/>
    </row>
    <row r="27" ht="22.5" customHeight="1">
      <c r="A27" s="58"/>
      <c r="B27" s="56"/>
      <c r="C27" s="57"/>
      <c r="D27" s="59" t="s">
        <v>55</v>
      </c>
      <c r="E27" s="51">
        <f t="shared" si="1"/>
        <v>0</v>
      </c>
      <c r="F27" s="52">
        <f>IFERROR(ROUND(E27 / Totals_2[$ Subtotal], 4), 0)
</f>
        <v>0</v>
      </c>
      <c r="G27" s="51">
        <f>IFERROR(F27*(Totals_2[$ Tax Amount]+Totals_2[$ Tip Amount]), 0)
</f>
        <v>0</v>
      </c>
      <c r="H27" s="51">
        <f t="shared" si="2"/>
        <v>0</v>
      </c>
      <c r="I27" s="54" t="b">
        <v>0</v>
      </c>
      <c r="J27" s="55" t="str">
        <f t="shared" si="3"/>
        <v/>
      </c>
      <c r="K27" s="35"/>
      <c r="L27" s="35"/>
      <c r="M27" s="35"/>
      <c r="N27" s="35"/>
      <c r="O27" s="35"/>
      <c r="P27" s="35"/>
      <c r="Q27" s="35"/>
      <c r="R27" s="35"/>
      <c r="S27" s="35"/>
      <c r="T27" s="35"/>
      <c r="U27" s="35"/>
      <c r="V27" s="35"/>
      <c r="W27" s="35"/>
      <c r="X27" s="35"/>
      <c r="Y27" s="35"/>
      <c r="Z27" s="35"/>
    </row>
  </sheetData>
  <conditionalFormatting sqref="D8:D27">
    <cfRule type="colorScale" priority="1">
      <colorScale>
        <cfvo type="min"/>
        <cfvo type="max"/>
        <color rgb="FFFFFFFF"/>
        <color rgb="FF57BB8A"/>
      </colorScale>
    </cfRule>
  </conditionalFormatting>
  <conditionalFormatting sqref="J8:J27">
    <cfRule type="expression" dxfId="7" priority="2">
      <formula>AND(I8=FALSE,E8&lt;&gt;0)</formula>
    </cfRule>
  </conditionalFormatting>
  <dataValidations>
    <dataValidation type="decimal" allowBlank="1" showDropDown="1" showInputMessage="1" prompt="Enter a tip percentage between 0 and 100" sqref="B1">
      <formula1>0.0</formula1>
      <formula2>100.0</formula2>
    </dataValidation>
    <dataValidation type="custom" allowBlank="1" showDropDown="1" sqref="B4:E4 C8:C27 E8:G27">
      <formula1>AND(ISNUMBER(B4),(NOT(OR(NOT(ISERROR(DATEVALUE(B4))), AND(ISNUMBER(B4), LEFT(CELL("format", B4))="D")))))</formula1>
    </dataValidation>
    <dataValidation type="list" allowBlank="1" sqref="D8:D27">
      <formula1>"N/A,Solo,Appetizer,Treated"</formula1>
    </dataValidation>
    <dataValidation allowBlank="1" showDropDown="1" sqref="B8:B27"/>
  </dataValidation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4.5"/>
    <col customWidth="1" min="2" max="2" width="13.88"/>
    <col customWidth="1" min="3" max="3" width="12.25"/>
    <col customWidth="1" min="4" max="4" width="14.25"/>
    <col customWidth="1" min="5" max="5" width="12.5"/>
    <col customWidth="1" min="6" max="6" width="14.75"/>
    <col customWidth="1" min="7" max="7" width="12.13"/>
    <col customWidth="1" min="8" max="8" width="10.13"/>
    <col customWidth="1" min="9" max="9" width="11.0"/>
    <col customWidth="1" min="10" max="10" width="22.25"/>
    <col customWidth="1" min="11" max="11" width="15.88"/>
  </cols>
  <sheetData>
    <row r="1" ht="57.0" customHeight="1">
      <c r="A1" s="33" t="s">
        <v>56</v>
      </c>
      <c r="B1" s="34"/>
      <c r="C1" s="35"/>
      <c r="D1" s="35"/>
      <c r="E1" s="35"/>
      <c r="F1" s="35"/>
      <c r="G1" s="35"/>
      <c r="H1" s="35"/>
      <c r="I1" s="35"/>
      <c r="J1" s="35"/>
      <c r="K1" s="35"/>
      <c r="L1" s="35"/>
      <c r="M1" s="35"/>
      <c r="N1" s="35"/>
      <c r="O1" s="35"/>
      <c r="P1" s="35"/>
      <c r="Q1" s="35"/>
      <c r="R1" s="35"/>
      <c r="S1" s="35"/>
      <c r="T1" s="35"/>
      <c r="U1" s="35"/>
      <c r="V1" s="35"/>
      <c r="W1" s="35"/>
      <c r="X1" s="35"/>
      <c r="Y1" s="35"/>
      <c r="Z1" s="35"/>
      <c r="AA1" s="35"/>
    </row>
    <row r="2" outlineLevel="1">
      <c r="A2" s="36" t="s">
        <v>29</v>
      </c>
      <c r="B2" s="37"/>
      <c r="C2" s="37"/>
      <c r="D2" s="37"/>
      <c r="E2" s="37"/>
      <c r="F2" s="35"/>
      <c r="G2" s="35"/>
      <c r="H2" s="35"/>
      <c r="I2" s="35"/>
      <c r="J2" s="35"/>
      <c r="K2" s="35"/>
      <c r="L2" s="35"/>
      <c r="M2" s="35"/>
      <c r="N2" s="35"/>
      <c r="O2" s="35"/>
      <c r="P2" s="35"/>
      <c r="Q2" s="35"/>
      <c r="R2" s="35"/>
      <c r="S2" s="35"/>
      <c r="T2" s="35"/>
      <c r="U2" s="35"/>
      <c r="V2" s="35"/>
      <c r="W2" s="35"/>
      <c r="X2" s="35"/>
      <c r="Y2" s="35"/>
      <c r="Z2" s="35"/>
      <c r="AA2" s="35"/>
    </row>
    <row r="3" ht="22.5" customHeight="1" outlineLevel="1">
      <c r="A3" s="38" t="s">
        <v>30</v>
      </c>
      <c r="B3" s="39" t="s">
        <v>31</v>
      </c>
      <c r="C3" s="39" t="s">
        <v>32</v>
      </c>
      <c r="D3" s="40" t="s">
        <v>33</v>
      </c>
      <c r="E3" s="39" t="s">
        <v>34</v>
      </c>
      <c r="F3" s="35"/>
      <c r="G3" s="35"/>
      <c r="H3" s="35"/>
      <c r="I3" s="35"/>
      <c r="J3" s="35"/>
      <c r="K3" s="35"/>
      <c r="L3" s="35"/>
      <c r="M3" s="35"/>
      <c r="N3" s="35"/>
      <c r="O3" s="35"/>
      <c r="P3" s="35"/>
      <c r="Q3" s="35"/>
      <c r="R3" s="35"/>
      <c r="S3" s="35"/>
      <c r="T3" s="35"/>
      <c r="U3" s="35"/>
      <c r="V3" s="35"/>
      <c r="W3" s="35"/>
      <c r="X3" s="35"/>
      <c r="Y3" s="35"/>
      <c r="Z3" s="35"/>
      <c r="AA3" s="35"/>
    </row>
    <row r="4" ht="22.5" customHeight="1" outlineLevel="1">
      <c r="A4" s="36" t="s">
        <v>35</v>
      </c>
      <c r="B4" s="41">
        <v>3.28</v>
      </c>
      <c r="C4" s="41">
        <v>5.81</v>
      </c>
      <c r="D4" s="42">
        <f>SUM(Food_Ordered_12[$ Dish Price])</f>
        <v>35.45</v>
      </c>
      <c r="E4" s="43">
        <f>ROUND(SUM(H:H),4)</f>
        <v>44.5409</v>
      </c>
      <c r="F4" s="35"/>
      <c r="G4" s="35"/>
      <c r="H4" s="35"/>
      <c r="I4" s="35"/>
      <c r="J4" s="35"/>
      <c r="K4" s="35"/>
      <c r="L4" s="35"/>
      <c r="M4" s="35"/>
      <c r="N4" s="35"/>
      <c r="O4" s="35"/>
      <c r="P4" s="35"/>
      <c r="Q4" s="35"/>
      <c r="R4" s="35"/>
      <c r="S4" s="35"/>
      <c r="T4" s="35"/>
      <c r="U4" s="35"/>
      <c r="V4" s="35"/>
      <c r="W4" s="35"/>
      <c r="X4" s="35"/>
      <c r="Y4" s="35"/>
      <c r="Z4" s="35"/>
      <c r="AA4" s="35"/>
    </row>
    <row r="5" ht="22.5" customHeight="1">
      <c r="A5" s="36" t="s">
        <v>36</v>
      </c>
      <c r="B5" s="44" t="str">
        <f>IFERROR("("&amp;TEXT(SUM(Totals_12[$ Tax Amount]/Totals_12[$ Subtotal]),"#,##0.00%")&amp;")",0)</f>
        <v>(9.25%)</v>
      </c>
      <c r="C5" s="44" t="str">
        <f>IFERROR("("&amp;TEXT(SUM(Totals_12[$ Tip Amount]/Totals_12[$ Subtotal]),"#,##0.00%")&amp;")",0)</f>
        <v>(16.39%)</v>
      </c>
      <c r="D5" s="45"/>
      <c r="E5" s="45"/>
      <c r="F5" s="35"/>
      <c r="G5" s="35"/>
      <c r="H5" s="35"/>
      <c r="I5" s="35"/>
      <c r="J5" s="35"/>
      <c r="K5" s="35"/>
      <c r="L5" s="35"/>
      <c r="M5" s="35"/>
      <c r="N5" s="35"/>
      <c r="O5" s="35"/>
      <c r="P5" s="35"/>
      <c r="Q5" s="35"/>
      <c r="R5" s="35"/>
      <c r="S5" s="35"/>
      <c r="T5" s="35"/>
      <c r="U5" s="35"/>
      <c r="V5" s="35"/>
      <c r="W5" s="35"/>
      <c r="X5" s="35"/>
      <c r="Y5" s="35"/>
      <c r="Z5" s="35"/>
      <c r="AA5" s="35"/>
    </row>
    <row r="6">
      <c r="A6" s="35"/>
      <c r="B6" s="35"/>
      <c r="C6" s="35"/>
      <c r="D6" s="35"/>
      <c r="E6" s="35"/>
      <c r="F6" s="35"/>
      <c r="G6" s="36"/>
      <c r="H6" s="35"/>
      <c r="I6" s="35"/>
      <c r="J6" s="35"/>
      <c r="K6" s="35"/>
      <c r="L6" s="35"/>
      <c r="M6" s="35"/>
      <c r="N6" s="35"/>
      <c r="O6" s="35"/>
      <c r="P6" s="35"/>
      <c r="Q6" s="35"/>
      <c r="R6" s="35"/>
      <c r="S6" s="35"/>
      <c r="T6" s="35"/>
      <c r="U6" s="35"/>
      <c r="V6" s="35"/>
      <c r="W6" s="35"/>
      <c r="X6" s="35"/>
      <c r="Y6" s="35"/>
      <c r="Z6" s="35"/>
      <c r="AA6" s="35"/>
    </row>
    <row r="7" ht="22.5" customHeight="1">
      <c r="A7" s="46" t="s">
        <v>37</v>
      </c>
      <c r="B7" s="46" t="s">
        <v>38</v>
      </c>
      <c r="C7" s="46" t="s">
        <v>39</v>
      </c>
      <c r="D7" s="46" t="s">
        <v>40</v>
      </c>
      <c r="E7" s="60" t="s">
        <v>12</v>
      </c>
      <c r="F7" s="47" t="s">
        <v>14</v>
      </c>
      <c r="G7" s="39" t="s">
        <v>16</v>
      </c>
      <c r="H7" s="39" t="s">
        <v>18</v>
      </c>
      <c r="I7" s="39" t="s">
        <v>41</v>
      </c>
      <c r="J7" s="39" t="s">
        <v>20</v>
      </c>
      <c r="K7" s="35"/>
      <c r="L7" s="35"/>
      <c r="M7" s="35"/>
      <c r="N7" s="35"/>
      <c r="O7" s="35"/>
      <c r="P7" s="35"/>
      <c r="Q7" s="35"/>
      <c r="R7" s="35"/>
      <c r="S7" s="35"/>
      <c r="T7" s="35"/>
      <c r="U7" s="35"/>
      <c r="V7" s="35"/>
      <c r="W7" s="35"/>
      <c r="X7" s="35"/>
      <c r="Y7" s="35"/>
      <c r="Z7" s="35"/>
    </row>
    <row r="8" ht="22.5" customHeight="1">
      <c r="A8" s="48" t="s">
        <v>42</v>
      </c>
      <c r="B8" s="49" t="s">
        <v>57</v>
      </c>
      <c r="C8" s="41">
        <v>11.95</v>
      </c>
      <c r="D8" s="59" t="s">
        <v>44</v>
      </c>
      <c r="E8" s="51">
        <f t="shared" ref="E8:E27" si="1">IF(OR(D8="Appetizer", D8="Treated",D8="N/A"), 0, SUMIF(A$8:A27, A8, C$8:C27) + (SUMIF(D$8:D27, "Appetizer", C$8:C27) + SUMIF(D$8:D27, "Treated", C$8:C27)) / COUNTIF(D$8:D27, "Solo"))
</f>
        <v>11.95</v>
      </c>
      <c r="F8" s="52">
        <f>IFERROR(ROUND(E8 / Totals_12[$ Subtotal], 4), 0)
</f>
        <v>0.3371</v>
      </c>
      <c r="G8" s="53">
        <f>IFERROR(F8*(Totals_12[$ Tax Amount]+Totals_12[$ Tip Amount]), 0)
</f>
        <v>3.064239</v>
      </c>
      <c r="H8" s="51">
        <f t="shared" ref="H8:H27" si="2">E8+G8</f>
        <v>15.014239</v>
      </c>
      <c r="I8" s="54" t="b">
        <v>1</v>
      </c>
      <c r="J8" s="55" t="str">
        <f t="shared" ref="J8:J27" si="3">IF(E8=0,"",A8 &amp; " ($" &amp; TEXT(H8, "#,##0.00") &amp; ") " &amp; IF(I8=TRUE, "✅", "❌"))</f>
        <v>Matt ($15.01) ✅</v>
      </c>
      <c r="K8" s="35"/>
      <c r="L8" s="35"/>
      <c r="M8" s="35"/>
      <c r="N8" s="35"/>
      <c r="O8" s="35"/>
      <c r="P8" s="35"/>
      <c r="Q8" s="35"/>
      <c r="R8" s="35"/>
      <c r="S8" s="35"/>
      <c r="T8" s="35"/>
      <c r="U8" s="35"/>
      <c r="V8" s="35"/>
      <c r="W8" s="35"/>
      <c r="X8" s="35"/>
      <c r="Y8" s="35"/>
      <c r="Z8" s="35"/>
    </row>
    <row r="9" ht="22.5" customHeight="1">
      <c r="A9" s="48" t="s">
        <v>58</v>
      </c>
      <c r="B9" s="49" t="s">
        <v>59</v>
      </c>
      <c r="C9" s="41">
        <v>11.75</v>
      </c>
      <c r="D9" s="59" t="s">
        <v>44</v>
      </c>
      <c r="E9" s="51">
        <f t="shared" si="1"/>
        <v>11.75</v>
      </c>
      <c r="F9" s="52">
        <f>IFERROR(ROUND(E9 / Totals_12[$ Subtotal], 4), 0)
</f>
        <v>0.3315</v>
      </c>
      <c r="G9" s="51">
        <f>IFERROR(F9*(Totals_12[$ Tax Amount]+Totals_12[$ Tip Amount]), 0)
</f>
        <v>3.013335</v>
      </c>
      <c r="H9" s="51">
        <f t="shared" si="2"/>
        <v>14.763335</v>
      </c>
      <c r="I9" s="54" t="b">
        <v>1</v>
      </c>
      <c r="J9" s="55" t="str">
        <f t="shared" si="3"/>
        <v>Sunny ($14.76) ✅</v>
      </c>
      <c r="K9" s="35"/>
      <c r="L9" s="35"/>
      <c r="M9" s="35"/>
      <c r="N9" s="35"/>
      <c r="O9" s="35"/>
      <c r="P9" s="35"/>
      <c r="Q9" s="35"/>
      <c r="R9" s="35"/>
      <c r="S9" s="35"/>
      <c r="T9" s="35"/>
      <c r="U9" s="35"/>
      <c r="V9" s="35"/>
      <c r="W9" s="35"/>
      <c r="X9" s="35"/>
      <c r="Y9" s="35"/>
      <c r="Z9" s="35"/>
    </row>
    <row r="10" ht="22.5" customHeight="1">
      <c r="A10" s="48" t="s">
        <v>60</v>
      </c>
      <c r="B10" s="49" t="s">
        <v>61</v>
      </c>
      <c r="C10" s="41">
        <v>11.75</v>
      </c>
      <c r="D10" s="59" t="s">
        <v>44</v>
      </c>
      <c r="E10" s="51">
        <f t="shared" si="1"/>
        <v>11.75</v>
      </c>
      <c r="F10" s="52">
        <f>IFERROR(ROUND(E10 / Totals_12[$ Subtotal], 4), 0)
</f>
        <v>0.3315</v>
      </c>
      <c r="G10" s="53">
        <f>IFERROR(F10*(Totals_12[$ Tax Amount]+Totals_12[$ Tip Amount]), 0)
</f>
        <v>3.013335</v>
      </c>
      <c r="H10" s="51">
        <f t="shared" si="2"/>
        <v>14.763335</v>
      </c>
      <c r="I10" s="54" t="b">
        <v>1</v>
      </c>
      <c r="J10" s="55" t="str">
        <f t="shared" si="3"/>
        <v>Jilli ($14.76) ✅</v>
      </c>
      <c r="K10" s="35"/>
      <c r="L10" s="35"/>
      <c r="M10" s="35"/>
      <c r="N10" s="35"/>
      <c r="O10" s="35"/>
      <c r="P10" s="35"/>
      <c r="Q10" s="35"/>
      <c r="R10" s="35"/>
      <c r="S10" s="35"/>
      <c r="T10" s="35"/>
      <c r="U10" s="35"/>
      <c r="V10" s="35"/>
      <c r="W10" s="35"/>
      <c r="X10" s="35"/>
      <c r="Y10" s="35"/>
      <c r="Z10" s="35"/>
    </row>
    <row r="11" ht="22.5" customHeight="1">
      <c r="A11" s="48"/>
      <c r="B11" s="49"/>
      <c r="C11" s="41"/>
      <c r="D11" s="59" t="s">
        <v>55</v>
      </c>
      <c r="E11" s="51">
        <f t="shared" si="1"/>
        <v>0</v>
      </c>
      <c r="F11" s="52">
        <f>IFERROR(ROUND(E11 / Totals_12[$ Subtotal], 4), 0)
</f>
        <v>0</v>
      </c>
      <c r="G11" s="51">
        <f>IFERROR(F11*(Totals_12[$ Tax Amount]+Totals_12[$ Tip Amount]), 0)
</f>
        <v>0</v>
      </c>
      <c r="H11" s="51">
        <f t="shared" si="2"/>
        <v>0</v>
      </c>
      <c r="I11" s="54" t="b">
        <v>0</v>
      </c>
      <c r="J11" s="55" t="str">
        <f t="shared" si="3"/>
        <v/>
      </c>
      <c r="K11" s="35"/>
      <c r="L11" s="35"/>
      <c r="M11" s="35"/>
      <c r="N11" s="35"/>
      <c r="O11" s="35"/>
      <c r="P11" s="35"/>
      <c r="Q11" s="35"/>
      <c r="R11" s="35"/>
      <c r="S11" s="35"/>
      <c r="T11" s="35"/>
      <c r="U11" s="35"/>
      <c r="V11" s="35"/>
      <c r="W11" s="35"/>
      <c r="X11" s="35"/>
      <c r="Y11" s="35"/>
      <c r="Z11" s="35"/>
    </row>
    <row r="12" ht="22.5" customHeight="1">
      <c r="A12" s="48"/>
      <c r="B12" s="49"/>
      <c r="C12" s="41"/>
      <c r="D12" s="59" t="s">
        <v>55</v>
      </c>
      <c r="E12" s="51">
        <f t="shared" si="1"/>
        <v>0</v>
      </c>
      <c r="F12" s="52">
        <f>IFERROR(ROUND(E12 / Totals_12[$ Subtotal], 4), 0)
</f>
        <v>0</v>
      </c>
      <c r="G12" s="51">
        <f>IFERROR(F12*(Totals_12[$ Tax Amount]+Totals_12[$ Tip Amount]), 0)
</f>
        <v>0</v>
      </c>
      <c r="H12" s="51">
        <f t="shared" si="2"/>
        <v>0</v>
      </c>
      <c r="I12" s="54" t="b">
        <v>0</v>
      </c>
      <c r="J12" s="55" t="str">
        <f t="shared" si="3"/>
        <v/>
      </c>
      <c r="K12" s="35"/>
      <c r="L12" s="35"/>
      <c r="M12" s="35"/>
      <c r="N12" s="35"/>
      <c r="O12" s="35"/>
      <c r="P12" s="35"/>
      <c r="Q12" s="35"/>
      <c r="R12" s="35"/>
      <c r="S12" s="35"/>
      <c r="T12" s="35"/>
      <c r="U12" s="35"/>
      <c r="V12" s="35"/>
      <c r="W12" s="35"/>
      <c r="X12" s="35"/>
      <c r="Y12" s="35"/>
      <c r="Z12" s="35"/>
    </row>
    <row r="13" ht="22.5" customHeight="1">
      <c r="A13" s="58"/>
      <c r="B13" s="49"/>
      <c r="C13" s="41"/>
      <c r="D13" s="59" t="s">
        <v>55</v>
      </c>
      <c r="E13" s="51">
        <f t="shared" si="1"/>
        <v>0</v>
      </c>
      <c r="F13" s="52">
        <f>IFERROR(ROUND(E13 / Totals_12[$ Subtotal], 4), 0)
</f>
        <v>0</v>
      </c>
      <c r="G13" s="51">
        <f>IFERROR(F13*(Totals_12[$ Tax Amount]+Totals_12[$ Tip Amount]), 0)
</f>
        <v>0</v>
      </c>
      <c r="H13" s="51">
        <f t="shared" si="2"/>
        <v>0</v>
      </c>
      <c r="I13" s="54" t="b">
        <v>0</v>
      </c>
      <c r="J13" s="55" t="str">
        <f t="shared" si="3"/>
        <v/>
      </c>
      <c r="K13" s="35"/>
      <c r="L13" s="35"/>
      <c r="M13" s="35"/>
      <c r="N13" s="35"/>
      <c r="O13" s="35"/>
      <c r="P13" s="35"/>
      <c r="Q13" s="35"/>
      <c r="R13" s="35"/>
      <c r="S13" s="35"/>
      <c r="T13" s="35"/>
      <c r="U13" s="35"/>
      <c r="V13" s="35"/>
      <c r="W13" s="35"/>
      <c r="X13" s="35"/>
      <c r="Y13" s="35"/>
      <c r="Z13" s="35"/>
    </row>
    <row r="14" ht="22.5" customHeight="1">
      <c r="A14" s="58"/>
      <c r="B14" s="49"/>
      <c r="C14" s="41"/>
      <c r="D14" s="59" t="s">
        <v>55</v>
      </c>
      <c r="E14" s="51">
        <f t="shared" si="1"/>
        <v>0</v>
      </c>
      <c r="F14" s="52">
        <f>IFERROR(ROUND(E14 / Totals_12[$ Subtotal], 4), 0)
</f>
        <v>0</v>
      </c>
      <c r="G14" s="51">
        <f>IFERROR(F14*(Totals_12[$ Tax Amount]+Totals_12[$ Tip Amount]), 0)
</f>
        <v>0</v>
      </c>
      <c r="H14" s="51">
        <f t="shared" si="2"/>
        <v>0</v>
      </c>
      <c r="I14" s="54" t="b">
        <v>0</v>
      </c>
      <c r="J14" s="55" t="str">
        <f t="shared" si="3"/>
        <v/>
      </c>
      <c r="K14" s="35"/>
      <c r="L14" s="35"/>
      <c r="M14" s="35"/>
      <c r="N14" s="35"/>
      <c r="O14" s="35"/>
      <c r="P14" s="35"/>
      <c r="Q14" s="35"/>
      <c r="R14" s="35"/>
      <c r="S14" s="35"/>
      <c r="T14" s="35"/>
      <c r="U14" s="35"/>
      <c r="V14" s="35"/>
      <c r="W14" s="35"/>
      <c r="X14" s="35"/>
      <c r="Y14" s="35"/>
      <c r="Z14" s="35"/>
    </row>
    <row r="15" ht="22.5" customHeight="1">
      <c r="A15" s="58"/>
      <c r="B15" s="49"/>
      <c r="C15" s="41"/>
      <c r="D15" s="59" t="s">
        <v>55</v>
      </c>
      <c r="E15" s="51">
        <f t="shared" si="1"/>
        <v>0</v>
      </c>
      <c r="F15" s="52">
        <f>IFERROR(ROUND(E15 / Totals_12[$ Subtotal], 4), 0)
</f>
        <v>0</v>
      </c>
      <c r="G15" s="51">
        <f>IFERROR(F15*(Totals_12[$ Tax Amount]+Totals_12[$ Tip Amount]), 0)
</f>
        <v>0</v>
      </c>
      <c r="H15" s="51">
        <f t="shared" si="2"/>
        <v>0</v>
      </c>
      <c r="I15" s="54" t="b">
        <v>0</v>
      </c>
      <c r="J15" s="55" t="str">
        <f t="shared" si="3"/>
        <v/>
      </c>
      <c r="K15" s="35"/>
      <c r="L15" s="35"/>
      <c r="M15" s="35"/>
      <c r="N15" s="35"/>
      <c r="O15" s="35"/>
      <c r="P15" s="35"/>
      <c r="Q15" s="35"/>
      <c r="R15" s="35"/>
      <c r="S15" s="35"/>
      <c r="T15" s="35"/>
      <c r="U15" s="35"/>
      <c r="V15" s="35"/>
      <c r="W15" s="35"/>
      <c r="X15" s="35"/>
      <c r="Y15" s="35"/>
      <c r="Z15" s="35"/>
    </row>
    <row r="16" ht="22.5" customHeight="1">
      <c r="A16" s="48"/>
      <c r="B16" s="49"/>
      <c r="C16" s="41"/>
      <c r="D16" s="59" t="s">
        <v>55</v>
      </c>
      <c r="E16" s="51">
        <f t="shared" si="1"/>
        <v>0</v>
      </c>
      <c r="F16" s="52">
        <f>IFERROR(ROUND(E16 / Totals_12[$ Subtotal], 4), 0)
</f>
        <v>0</v>
      </c>
      <c r="G16" s="51">
        <f>IFERROR(F16*(Totals_12[$ Tax Amount]+Totals_12[$ Tip Amount]), 0)
</f>
        <v>0</v>
      </c>
      <c r="H16" s="51">
        <f t="shared" si="2"/>
        <v>0</v>
      </c>
      <c r="I16" s="54" t="b">
        <v>0</v>
      </c>
      <c r="J16" s="55" t="str">
        <f t="shared" si="3"/>
        <v/>
      </c>
      <c r="K16" s="35"/>
      <c r="L16" s="35"/>
      <c r="M16" s="35"/>
      <c r="N16" s="35"/>
      <c r="O16" s="35"/>
      <c r="P16" s="35"/>
      <c r="Q16" s="35"/>
      <c r="R16" s="35"/>
      <c r="S16" s="35"/>
      <c r="T16" s="35"/>
      <c r="U16" s="35"/>
      <c r="V16" s="35"/>
      <c r="W16" s="35"/>
      <c r="X16" s="35"/>
      <c r="Y16" s="35"/>
      <c r="Z16" s="35"/>
    </row>
    <row r="17" ht="22.5" customHeight="1">
      <c r="A17" s="48"/>
      <c r="B17" s="56"/>
      <c r="C17" s="41"/>
      <c r="D17" s="59" t="s">
        <v>55</v>
      </c>
      <c r="E17" s="51">
        <f t="shared" si="1"/>
        <v>0</v>
      </c>
      <c r="F17" s="52">
        <f>IFERROR(ROUND(E17 / Totals_12[$ Subtotal], 4), 0)
</f>
        <v>0</v>
      </c>
      <c r="G17" s="51">
        <f>IFERROR(F17*(Totals_12[$ Tax Amount]+Totals_12[$ Tip Amount]), 0)
</f>
        <v>0</v>
      </c>
      <c r="H17" s="51">
        <f t="shared" si="2"/>
        <v>0</v>
      </c>
      <c r="I17" s="54" t="b">
        <v>0</v>
      </c>
      <c r="J17" s="55" t="str">
        <f t="shared" si="3"/>
        <v/>
      </c>
      <c r="K17" s="35"/>
      <c r="L17" s="35"/>
      <c r="M17" s="35"/>
      <c r="N17" s="35"/>
      <c r="O17" s="35"/>
      <c r="P17" s="35"/>
      <c r="Q17" s="35"/>
      <c r="R17" s="35"/>
      <c r="S17" s="35"/>
      <c r="T17" s="35"/>
      <c r="U17" s="35"/>
      <c r="V17" s="35"/>
      <c r="W17" s="35"/>
      <c r="X17" s="35"/>
      <c r="Y17" s="35"/>
      <c r="Z17" s="35"/>
    </row>
    <row r="18" ht="22.5" customHeight="1">
      <c r="A18" s="48"/>
      <c r="B18" s="49"/>
      <c r="C18" s="41"/>
      <c r="D18" s="59" t="s">
        <v>55</v>
      </c>
      <c r="E18" s="51">
        <f t="shared" si="1"/>
        <v>0</v>
      </c>
      <c r="F18" s="52">
        <f>IFERROR(ROUND(E18 / Totals_12[$ Subtotal], 4), 0)
</f>
        <v>0</v>
      </c>
      <c r="G18" s="51">
        <f>IFERROR(F18*(Totals_12[$ Tax Amount]+Totals_12[$ Tip Amount]), 0)
</f>
        <v>0</v>
      </c>
      <c r="H18" s="51">
        <f t="shared" si="2"/>
        <v>0</v>
      </c>
      <c r="I18" s="54" t="b">
        <v>0</v>
      </c>
      <c r="J18" s="55" t="str">
        <f t="shared" si="3"/>
        <v/>
      </c>
      <c r="K18" s="35"/>
      <c r="L18" s="35"/>
      <c r="M18" s="35"/>
      <c r="N18" s="35"/>
      <c r="O18" s="35"/>
      <c r="P18" s="35"/>
      <c r="Q18" s="35"/>
      <c r="R18" s="35"/>
      <c r="S18" s="35"/>
      <c r="T18" s="35"/>
      <c r="U18" s="35"/>
      <c r="V18" s="35"/>
      <c r="W18" s="35"/>
      <c r="X18" s="35"/>
      <c r="Y18" s="35"/>
      <c r="Z18" s="35"/>
    </row>
    <row r="19" ht="22.5" customHeight="1">
      <c r="A19" s="48"/>
      <c r="B19" s="49"/>
      <c r="C19" s="41"/>
      <c r="D19" s="59" t="s">
        <v>55</v>
      </c>
      <c r="E19" s="51">
        <f t="shared" si="1"/>
        <v>0</v>
      </c>
      <c r="F19" s="52">
        <f>IFERROR(ROUND(E19 / Totals_12[$ Subtotal], 4), 0)
</f>
        <v>0</v>
      </c>
      <c r="G19" s="51">
        <f>IFERROR(F19*(Totals_12[$ Tax Amount]+Totals_12[$ Tip Amount]), 0)
</f>
        <v>0</v>
      </c>
      <c r="H19" s="51">
        <f t="shared" si="2"/>
        <v>0</v>
      </c>
      <c r="I19" s="54" t="b">
        <v>0</v>
      </c>
      <c r="J19" s="55" t="str">
        <f t="shared" si="3"/>
        <v/>
      </c>
      <c r="K19" s="35"/>
      <c r="L19" s="35"/>
      <c r="M19" s="35"/>
      <c r="N19" s="35"/>
      <c r="O19" s="35"/>
      <c r="P19" s="35"/>
      <c r="Q19" s="35"/>
      <c r="R19" s="35"/>
      <c r="S19" s="35"/>
      <c r="T19" s="35"/>
      <c r="U19" s="35"/>
      <c r="V19" s="35"/>
      <c r="W19" s="35"/>
      <c r="X19" s="35"/>
      <c r="Y19" s="35"/>
      <c r="Z19" s="35"/>
    </row>
    <row r="20" ht="22.5" customHeight="1">
      <c r="A20" s="48"/>
      <c r="B20" s="49"/>
      <c r="C20" s="41"/>
      <c r="D20" s="59" t="s">
        <v>55</v>
      </c>
      <c r="E20" s="51">
        <f t="shared" si="1"/>
        <v>0</v>
      </c>
      <c r="F20" s="52">
        <f>IFERROR(ROUND(E20 / Totals_12[$ Subtotal], 4), 0)
</f>
        <v>0</v>
      </c>
      <c r="G20" s="51">
        <f>IFERROR(F20*(Totals_12[$ Tax Amount]+Totals_12[$ Tip Amount]), 0)
</f>
        <v>0</v>
      </c>
      <c r="H20" s="51">
        <f t="shared" si="2"/>
        <v>0</v>
      </c>
      <c r="I20" s="54" t="b">
        <v>0</v>
      </c>
      <c r="J20" s="55" t="str">
        <f t="shared" si="3"/>
        <v/>
      </c>
      <c r="K20" s="35"/>
      <c r="L20" s="35"/>
      <c r="M20" s="35"/>
      <c r="N20" s="35"/>
      <c r="O20" s="35"/>
      <c r="P20" s="35"/>
      <c r="Q20" s="35"/>
      <c r="R20" s="35"/>
      <c r="S20" s="35"/>
      <c r="T20" s="35"/>
      <c r="U20" s="35"/>
      <c r="V20" s="35"/>
      <c r="W20" s="35"/>
      <c r="X20" s="35"/>
      <c r="Y20" s="35"/>
      <c r="Z20" s="35"/>
    </row>
    <row r="21" ht="22.5" customHeight="1">
      <c r="A21" s="48"/>
      <c r="B21" s="49"/>
      <c r="C21" s="41"/>
      <c r="D21" s="59" t="s">
        <v>55</v>
      </c>
      <c r="E21" s="51">
        <f t="shared" si="1"/>
        <v>0</v>
      </c>
      <c r="F21" s="52">
        <f>IFERROR(ROUND(E21 / Totals_12[$ Subtotal], 4), 0)
</f>
        <v>0</v>
      </c>
      <c r="G21" s="51">
        <f>IFERROR(F21*(Totals_12[$ Tax Amount]+Totals_12[$ Tip Amount]), 0)
</f>
        <v>0</v>
      </c>
      <c r="H21" s="51">
        <f t="shared" si="2"/>
        <v>0</v>
      </c>
      <c r="I21" s="54" t="b">
        <v>0</v>
      </c>
      <c r="J21" s="55" t="str">
        <f t="shared" si="3"/>
        <v/>
      </c>
      <c r="K21" s="35"/>
      <c r="L21" s="35"/>
      <c r="M21" s="35"/>
      <c r="N21" s="35"/>
      <c r="O21" s="35"/>
      <c r="P21" s="35"/>
      <c r="Q21" s="35"/>
      <c r="R21" s="35"/>
      <c r="S21" s="35"/>
      <c r="T21" s="35"/>
      <c r="U21" s="35"/>
      <c r="V21" s="35"/>
      <c r="W21" s="35"/>
      <c r="X21" s="35"/>
      <c r="Y21" s="35"/>
      <c r="Z21" s="35"/>
    </row>
    <row r="22" ht="22.5" customHeight="1">
      <c r="A22" s="48"/>
      <c r="B22" s="49"/>
      <c r="C22" s="41"/>
      <c r="D22" s="59" t="s">
        <v>55</v>
      </c>
      <c r="E22" s="51">
        <f t="shared" si="1"/>
        <v>0</v>
      </c>
      <c r="F22" s="52">
        <f>IFERROR(ROUND(E22 / Totals_12[$ Subtotal], 4), 0)
</f>
        <v>0</v>
      </c>
      <c r="G22" s="51">
        <f>IFERROR(F22*(Totals_12[$ Tax Amount]+Totals_12[$ Tip Amount]), 0)
</f>
        <v>0</v>
      </c>
      <c r="H22" s="51">
        <f t="shared" si="2"/>
        <v>0</v>
      </c>
      <c r="I22" s="54" t="b">
        <v>0</v>
      </c>
      <c r="J22" s="55" t="str">
        <f t="shared" si="3"/>
        <v/>
      </c>
      <c r="K22" s="35"/>
      <c r="L22" s="35"/>
      <c r="M22" s="35"/>
      <c r="N22" s="35"/>
      <c r="O22" s="35"/>
      <c r="P22" s="35"/>
      <c r="Q22" s="35"/>
      <c r="R22" s="35"/>
      <c r="S22" s="35"/>
      <c r="T22" s="35"/>
      <c r="U22" s="35"/>
      <c r="V22" s="35"/>
      <c r="W22" s="35"/>
      <c r="X22" s="35"/>
      <c r="Y22" s="35"/>
      <c r="Z22" s="35"/>
    </row>
    <row r="23" ht="22.5" customHeight="1">
      <c r="A23" s="48"/>
      <c r="B23" s="56"/>
      <c r="C23" s="41"/>
      <c r="D23" s="59" t="s">
        <v>55</v>
      </c>
      <c r="E23" s="51">
        <f t="shared" si="1"/>
        <v>0</v>
      </c>
      <c r="F23" s="52">
        <f>IFERROR(ROUND(E23 / Totals_12[$ Subtotal], 4), 0)
</f>
        <v>0</v>
      </c>
      <c r="G23" s="51">
        <f>IFERROR(F23*(Totals_12[$ Tax Amount]+Totals_12[$ Tip Amount]), 0)
</f>
        <v>0</v>
      </c>
      <c r="H23" s="51">
        <f t="shared" si="2"/>
        <v>0</v>
      </c>
      <c r="I23" s="54" t="b">
        <v>0</v>
      </c>
      <c r="J23" s="55" t="str">
        <f t="shared" si="3"/>
        <v/>
      </c>
      <c r="K23" s="35"/>
      <c r="L23" s="35"/>
      <c r="M23" s="35"/>
      <c r="N23" s="35"/>
      <c r="O23" s="35"/>
      <c r="P23" s="35"/>
      <c r="Q23" s="35"/>
      <c r="R23" s="35"/>
      <c r="S23" s="35"/>
      <c r="T23" s="35"/>
      <c r="U23" s="35"/>
      <c r="V23" s="35"/>
      <c r="W23" s="35"/>
      <c r="X23" s="35"/>
      <c r="Y23" s="35"/>
      <c r="Z23" s="35"/>
    </row>
    <row r="24" ht="22.5" customHeight="1">
      <c r="A24" s="58"/>
      <c r="B24" s="56"/>
      <c r="C24" s="57"/>
      <c r="D24" s="59" t="s">
        <v>55</v>
      </c>
      <c r="E24" s="51">
        <f t="shared" si="1"/>
        <v>0</v>
      </c>
      <c r="F24" s="52">
        <f>IFERROR(ROUND(E24 / Totals_12[$ Subtotal], 4), 0)
</f>
        <v>0</v>
      </c>
      <c r="G24" s="51">
        <f>IFERROR(F24*(Totals_12[$ Tax Amount]+Totals_12[$ Tip Amount]), 0)
</f>
        <v>0</v>
      </c>
      <c r="H24" s="51">
        <f t="shared" si="2"/>
        <v>0</v>
      </c>
      <c r="I24" s="54" t="b">
        <v>0</v>
      </c>
      <c r="J24" s="55" t="str">
        <f t="shared" si="3"/>
        <v/>
      </c>
      <c r="K24" s="35"/>
      <c r="L24" s="35"/>
      <c r="M24" s="35"/>
      <c r="N24" s="35"/>
      <c r="O24" s="35"/>
      <c r="P24" s="35"/>
      <c r="Q24" s="35"/>
      <c r="R24" s="35"/>
      <c r="S24" s="35"/>
      <c r="T24" s="35"/>
      <c r="U24" s="35"/>
      <c r="V24" s="35"/>
      <c r="W24" s="35"/>
      <c r="X24" s="35"/>
      <c r="Y24" s="35"/>
      <c r="Z24" s="35"/>
    </row>
    <row r="25" ht="22.5" customHeight="1">
      <c r="A25" s="58"/>
      <c r="B25" s="56"/>
      <c r="C25" s="57"/>
      <c r="D25" s="59" t="s">
        <v>55</v>
      </c>
      <c r="E25" s="51">
        <f t="shared" si="1"/>
        <v>0</v>
      </c>
      <c r="F25" s="52">
        <f>IFERROR(ROUND(E25 / Totals_12[$ Subtotal], 4), 0)
</f>
        <v>0</v>
      </c>
      <c r="G25" s="51">
        <f>IFERROR(F25*(Totals_12[$ Tax Amount]+Totals_12[$ Tip Amount]), 0)
</f>
        <v>0</v>
      </c>
      <c r="H25" s="51">
        <f t="shared" si="2"/>
        <v>0</v>
      </c>
      <c r="I25" s="54" t="b">
        <v>0</v>
      </c>
      <c r="J25" s="55" t="str">
        <f t="shared" si="3"/>
        <v/>
      </c>
      <c r="K25" s="35"/>
      <c r="L25" s="35"/>
      <c r="M25" s="35"/>
      <c r="N25" s="35"/>
      <c r="O25" s="35"/>
      <c r="P25" s="35"/>
      <c r="Q25" s="35"/>
      <c r="R25" s="35"/>
      <c r="S25" s="35"/>
      <c r="T25" s="35"/>
      <c r="U25" s="35"/>
      <c r="V25" s="35"/>
      <c r="W25" s="35"/>
      <c r="X25" s="35"/>
      <c r="Y25" s="35"/>
      <c r="Z25" s="35"/>
    </row>
    <row r="26" ht="22.5" customHeight="1">
      <c r="A26" s="58"/>
      <c r="B26" s="56"/>
      <c r="C26" s="57"/>
      <c r="D26" s="59" t="s">
        <v>55</v>
      </c>
      <c r="E26" s="51">
        <f t="shared" si="1"/>
        <v>0</v>
      </c>
      <c r="F26" s="52">
        <f>IFERROR(ROUND(E26 / Totals_12[$ Subtotal], 4), 0)
</f>
        <v>0</v>
      </c>
      <c r="G26" s="51">
        <f>IFERROR(F26*(Totals_12[$ Tax Amount]+Totals_12[$ Tip Amount]), 0)
</f>
        <v>0</v>
      </c>
      <c r="H26" s="51">
        <f t="shared" si="2"/>
        <v>0</v>
      </c>
      <c r="I26" s="54" t="b">
        <v>0</v>
      </c>
      <c r="J26" s="55" t="str">
        <f t="shared" si="3"/>
        <v/>
      </c>
      <c r="K26" s="35"/>
      <c r="L26" s="35"/>
      <c r="M26" s="35"/>
      <c r="N26" s="35"/>
      <c r="O26" s="35"/>
      <c r="P26" s="35"/>
      <c r="Q26" s="35"/>
      <c r="R26" s="35"/>
      <c r="S26" s="35"/>
      <c r="T26" s="35"/>
      <c r="U26" s="35"/>
      <c r="V26" s="35"/>
      <c r="W26" s="35"/>
      <c r="X26" s="35"/>
      <c r="Y26" s="35"/>
      <c r="Z26" s="35"/>
    </row>
    <row r="27" ht="22.5" customHeight="1">
      <c r="A27" s="58"/>
      <c r="B27" s="56"/>
      <c r="C27" s="57"/>
      <c r="D27" s="59" t="s">
        <v>55</v>
      </c>
      <c r="E27" s="51">
        <f t="shared" si="1"/>
        <v>0</v>
      </c>
      <c r="F27" s="52">
        <f>IFERROR(ROUND(E27 / Totals_12[$ Subtotal], 4), 0)
</f>
        <v>0</v>
      </c>
      <c r="G27" s="51">
        <f>IFERROR(F27*(Totals_12[$ Tax Amount]+Totals_12[$ Tip Amount]), 0)
</f>
        <v>0</v>
      </c>
      <c r="H27" s="51">
        <f t="shared" si="2"/>
        <v>0</v>
      </c>
      <c r="I27" s="54" t="b">
        <v>0</v>
      </c>
      <c r="J27" s="55" t="str">
        <f t="shared" si="3"/>
        <v/>
      </c>
      <c r="K27" s="35"/>
      <c r="L27" s="35"/>
      <c r="M27" s="35"/>
      <c r="N27" s="35"/>
      <c r="O27" s="35"/>
      <c r="P27" s="35"/>
      <c r="Q27" s="35"/>
      <c r="R27" s="35"/>
      <c r="S27" s="35"/>
      <c r="T27" s="35"/>
      <c r="U27" s="35"/>
      <c r="V27" s="35"/>
      <c r="W27" s="35"/>
      <c r="X27" s="35"/>
      <c r="Y27" s="35"/>
      <c r="Z27" s="35"/>
    </row>
  </sheetData>
  <conditionalFormatting sqref="D8:D27">
    <cfRule type="colorScale" priority="1">
      <colorScale>
        <cfvo type="min"/>
        <cfvo type="max"/>
        <color rgb="FFFFFFFF"/>
        <color rgb="FF57BB8A"/>
      </colorScale>
    </cfRule>
  </conditionalFormatting>
  <conditionalFormatting sqref="J8:J27">
    <cfRule type="expression" dxfId="7" priority="2">
      <formula>AND(I8=FALSE,E8&lt;&gt;0)</formula>
    </cfRule>
  </conditionalFormatting>
  <dataValidations>
    <dataValidation type="decimal" allowBlank="1" showDropDown="1" showInputMessage="1" prompt="Enter a tip percentage between 0 and 100" sqref="B1">
      <formula1>0.0</formula1>
      <formula2>100.0</formula2>
    </dataValidation>
    <dataValidation type="custom" allowBlank="1" showDropDown="1" sqref="B4:E4 C8:C27 E8:G27">
      <formula1>AND(ISNUMBER(B4),(NOT(OR(NOT(ISERROR(DATEVALUE(B4))), AND(ISNUMBER(B4), LEFT(CELL("format", B4))="D")))))</formula1>
    </dataValidation>
    <dataValidation type="list" allowBlank="1" sqref="D8:D27">
      <formula1>"N/A,Solo,Appetizer,Treated"</formula1>
    </dataValidation>
    <dataValidation allowBlank="1" showDropDown="1" sqref="B8:B27"/>
  </dataValidation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4.5"/>
    <col customWidth="1" min="2" max="2" width="13.88"/>
    <col customWidth="1" min="3" max="3" width="12.25"/>
    <col customWidth="1" min="4" max="4" width="14.25"/>
    <col customWidth="1" min="5" max="5" width="12.5"/>
    <col customWidth="1" min="6" max="6" width="14.75"/>
    <col customWidth="1" min="7" max="7" width="12.13"/>
    <col customWidth="1" min="8" max="8" width="10.13"/>
    <col customWidth="1" min="9" max="9" width="11.0"/>
    <col customWidth="1" min="10" max="10" width="22.25"/>
    <col customWidth="1" min="11" max="11" width="15.88"/>
  </cols>
  <sheetData>
    <row r="1" ht="57.0" customHeight="1">
      <c r="A1" s="33" t="s">
        <v>56</v>
      </c>
      <c r="B1" s="34"/>
      <c r="C1" s="35"/>
      <c r="D1" s="35"/>
      <c r="E1" s="35"/>
      <c r="F1" s="35"/>
      <c r="G1" s="35"/>
      <c r="H1" s="35"/>
      <c r="I1" s="35"/>
      <c r="J1" s="35"/>
      <c r="K1" s="35"/>
      <c r="L1" s="35"/>
      <c r="M1" s="35"/>
      <c r="N1" s="35"/>
      <c r="O1" s="35"/>
      <c r="P1" s="35"/>
      <c r="Q1" s="35"/>
      <c r="R1" s="35"/>
      <c r="S1" s="35"/>
      <c r="T1" s="35"/>
      <c r="U1" s="35"/>
      <c r="V1" s="35"/>
      <c r="W1" s="35"/>
      <c r="X1" s="35"/>
      <c r="Y1" s="35"/>
      <c r="Z1" s="35"/>
      <c r="AA1" s="35"/>
    </row>
    <row r="2" outlineLevel="1">
      <c r="A2" s="36" t="s">
        <v>29</v>
      </c>
      <c r="B2" s="37"/>
      <c r="C2" s="37"/>
      <c r="D2" s="37"/>
      <c r="E2" s="37"/>
      <c r="F2" s="35"/>
      <c r="G2" s="35"/>
      <c r="H2" s="35"/>
      <c r="I2" s="35"/>
      <c r="J2" s="35"/>
      <c r="K2" s="35"/>
      <c r="L2" s="35"/>
      <c r="M2" s="35"/>
      <c r="N2" s="35"/>
      <c r="O2" s="35"/>
      <c r="P2" s="35"/>
      <c r="Q2" s="35"/>
      <c r="R2" s="35"/>
      <c r="S2" s="35"/>
      <c r="T2" s="35"/>
      <c r="U2" s="35"/>
      <c r="V2" s="35"/>
      <c r="W2" s="35"/>
      <c r="X2" s="35"/>
      <c r="Y2" s="35"/>
      <c r="Z2" s="35"/>
      <c r="AA2" s="35"/>
    </row>
    <row r="3" ht="22.5" customHeight="1" outlineLevel="1">
      <c r="A3" s="38" t="s">
        <v>30</v>
      </c>
      <c r="B3" s="39" t="s">
        <v>31</v>
      </c>
      <c r="C3" s="39" t="s">
        <v>32</v>
      </c>
      <c r="D3" s="40" t="s">
        <v>33</v>
      </c>
      <c r="E3" s="39" t="s">
        <v>34</v>
      </c>
      <c r="F3" s="35"/>
      <c r="G3" s="35"/>
      <c r="H3" s="35"/>
      <c r="I3" s="35"/>
      <c r="J3" s="35"/>
      <c r="K3" s="35"/>
      <c r="L3" s="35"/>
      <c r="M3" s="35"/>
      <c r="N3" s="35"/>
      <c r="O3" s="35"/>
      <c r="P3" s="35"/>
      <c r="Q3" s="35"/>
      <c r="R3" s="35"/>
      <c r="S3" s="35"/>
      <c r="T3" s="35"/>
      <c r="U3" s="35"/>
      <c r="V3" s="35"/>
      <c r="W3" s="35"/>
      <c r="X3" s="35"/>
      <c r="Y3" s="35"/>
      <c r="Z3" s="35"/>
      <c r="AA3" s="35"/>
    </row>
    <row r="4" ht="22.5" customHeight="1" outlineLevel="1">
      <c r="A4" s="36" t="s">
        <v>35</v>
      </c>
      <c r="B4" s="41">
        <f>1.32+1.32+2.24</f>
        <v>4.88</v>
      </c>
      <c r="C4" s="41">
        <v>0.0</v>
      </c>
      <c r="D4" s="42">
        <f>SUM(Food_Ordered_11[$ Dish Price])</f>
        <v>47.25</v>
      </c>
      <c r="E4" s="43">
        <f>ROUND(SUM(H:H),4)</f>
        <v>52.1295</v>
      </c>
      <c r="F4" s="35"/>
      <c r="G4" s="35"/>
      <c r="H4" s="35"/>
      <c r="I4" s="35"/>
      <c r="J4" s="35"/>
      <c r="K4" s="35"/>
      <c r="L4" s="35"/>
      <c r="M4" s="35"/>
      <c r="N4" s="35"/>
      <c r="O4" s="35"/>
      <c r="P4" s="35"/>
      <c r="Q4" s="35"/>
      <c r="R4" s="35"/>
      <c r="S4" s="35"/>
      <c r="T4" s="35"/>
      <c r="U4" s="35"/>
      <c r="V4" s="35"/>
      <c r="W4" s="35"/>
      <c r="X4" s="35"/>
      <c r="Y4" s="35"/>
      <c r="Z4" s="35"/>
      <c r="AA4" s="35"/>
    </row>
    <row r="5" ht="22.5" customHeight="1">
      <c r="A5" s="36" t="s">
        <v>36</v>
      </c>
      <c r="B5" s="44" t="str">
        <f>IFERROR("("&amp;TEXT(SUM(Totals_11[$ Tax Amount]/Totals_11[$ Subtotal]),"#,##0.00%")&amp;")",0)</f>
        <v>(10.33%)</v>
      </c>
      <c r="C5" s="44" t="str">
        <f>IFERROR("("&amp;TEXT(SUM(Totals_11[$ Tip Amount]/Totals_11[$ Subtotal]),"#,##0.00%")&amp;")",0)</f>
        <v>(0.00%)</v>
      </c>
      <c r="D5" s="45"/>
      <c r="E5" s="45"/>
      <c r="F5" s="35"/>
      <c r="G5" s="35"/>
      <c r="H5" s="35"/>
      <c r="I5" s="35"/>
      <c r="J5" s="35"/>
      <c r="K5" s="35"/>
      <c r="L5" s="35"/>
      <c r="M5" s="35"/>
      <c r="N5" s="35"/>
      <c r="O5" s="35"/>
      <c r="P5" s="35"/>
      <c r="Q5" s="35"/>
      <c r="R5" s="35"/>
      <c r="S5" s="35"/>
      <c r="T5" s="35"/>
      <c r="U5" s="35"/>
      <c r="V5" s="35"/>
      <c r="W5" s="35"/>
      <c r="X5" s="35"/>
      <c r="Y5" s="35"/>
      <c r="Z5" s="35"/>
      <c r="AA5" s="35"/>
    </row>
    <row r="6">
      <c r="A6" s="35"/>
      <c r="B6" s="35"/>
      <c r="C6" s="35"/>
      <c r="D6" s="35"/>
      <c r="E6" s="35"/>
      <c r="F6" s="35"/>
      <c r="G6" s="36"/>
      <c r="H6" s="35"/>
      <c r="I6" s="35"/>
      <c r="J6" s="35"/>
      <c r="K6" s="35"/>
      <c r="L6" s="35"/>
      <c r="M6" s="35"/>
      <c r="N6" s="35"/>
      <c r="O6" s="35"/>
      <c r="P6" s="35"/>
      <c r="Q6" s="35"/>
      <c r="R6" s="35"/>
      <c r="S6" s="35"/>
      <c r="T6" s="35"/>
      <c r="U6" s="35"/>
      <c r="V6" s="35"/>
      <c r="W6" s="35"/>
      <c r="X6" s="35"/>
      <c r="Y6" s="35"/>
      <c r="Z6" s="35"/>
      <c r="AA6" s="35"/>
    </row>
    <row r="7" ht="22.5" customHeight="1">
      <c r="A7" s="46" t="s">
        <v>37</v>
      </c>
      <c r="B7" s="46" t="s">
        <v>38</v>
      </c>
      <c r="C7" s="46" t="s">
        <v>39</v>
      </c>
      <c r="D7" s="46" t="s">
        <v>40</v>
      </c>
      <c r="E7" s="46" t="s">
        <v>12</v>
      </c>
      <c r="F7" s="47" t="s">
        <v>14</v>
      </c>
      <c r="G7" s="39" t="s">
        <v>16</v>
      </c>
      <c r="H7" s="39" t="s">
        <v>18</v>
      </c>
      <c r="I7" s="39" t="s">
        <v>41</v>
      </c>
      <c r="J7" s="39" t="s">
        <v>20</v>
      </c>
      <c r="K7" s="35"/>
      <c r="L7" s="35"/>
      <c r="M7" s="35"/>
      <c r="N7" s="35"/>
      <c r="O7" s="35"/>
      <c r="P7" s="35"/>
      <c r="Q7" s="35"/>
      <c r="R7" s="35"/>
      <c r="S7" s="35"/>
      <c r="T7" s="35"/>
      <c r="U7" s="35"/>
      <c r="V7" s="35"/>
      <c r="W7" s="35"/>
      <c r="X7" s="35"/>
      <c r="Y7" s="35"/>
      <c r="Z7" s="35"/>
    </row>
    <row r="8" ht="22.5" customHeight="1">
      <c r="A8" s="48"/>
      <c r="B8" s="49" t="s">
        <v>62</v>
      </c>
      <c r="C8" s="41">
        <v>14.25</v>
      </c>
      <c r="D8" s="59" t="s">
        <v>54</v>
      </c>
      <c r="E8" s="51">
        <f t="shared" ref="E8:E27" si="1">IF(OR(D8="Appetizer", D8="Treated",D8="N/A"), 0, SUMIF(A$8:A27, A8, C$8:C27) + (SUMIF(D$8:D27, "Appetizer", C$8:C27) + SUMIF(D$8:D27, "Treated", C$8:C27)) / COUNTIF(D$8:D27, "Solo"))
</f>
        <v>0</v>
      </c>
      <c r="F8" s="52">
        <f>IFERROR(ROUND(E8 / Totals_11[$ Subtotal], 4), 0)
</f>
        <v>0</v>
      </c>
      <c r="G8" s="53">
        <f>IFERROR(F8*(Totals_11[$ Tax Amount]+Totals_11[$ Tip Amount]), 0)
</f>
        <v>0</v>
      </c>
      <c r="H8" s="51">
        <f t="shared" ref="H8:H27" si="2">E8+G8</f>
        <v>0</v>
      </c>
      <c r="I8" s="54" t="b">
        <v>0</v>
      </c>
      <c r="J8" s="55" t="str">
        <f t="shared" ref="J8:J27" si="3">IF(E8=0,"",A8 &amp; " ($" &amp; TEXT(H8, "#,##0.00") &amp; ") " &amp; IF(I8=TRUE, "✅", "❌"))</f>
        <v/>
      </c>
      <c r="K8" s="35"/>
      <c r="L8" s="35"/>
      <c r="M8" s="35"/>
      <c r="N8" s="35"/>
      <c r="O8" s="35"/>
      <c r="P8" s="35"/>
      <c r="Q8" s="35"/>
      <c r="R8" s="35"/>
      <c r="S8" s="35"/>
      <c r="T8" s="35"/>
      <c r="U8" s="35"/>
      <c r="V8" s="35"/>
      <c r="W8" s="35"/>
      <c r="X8" s="35"/>
      <c r="Y8" s="35"/>
      <c r="Z8" s="35"/>
    </row>
    <row r="9" ht="22.5" customHeight="1">
      <c r="A9" s="48"/>
      <c r="B9" s="49" t="s">
        <v>63</v>
      </c>
      <c r="C9" s="41">
        <v>18.75</v>
      </c>
      <c r="D9" s="59" t="s">
        <v>54</v>
      </c>
      <c r="E9" s="51">
        <f t="shared" si="1"/>
        <v>0</v>
      </c>
      <c r="F9" s="52">
        <f>IFERROR(ROUND(E9 / Totals_11[$ Subtotal], 4), 0)
</f>
        <v>0</v>
      </c>
      <c r="G9" s="51">
        <f>IFERROR(F9*(Totals_11[$ Tax Amount]+Totals_11[$ Tip Amount]), 0)
</f>
        <v>0</v>
      </c>
      <c r="H9" s="51">
        <f t="shared" si="2"/>
        <v>0</v>
      </c>
      <c r="I9" s="54" t="b">
        <v>0</v>
      </c>
      <c r="J9" s="55" t="str">
        <f t="shared" si="3"/>
        <v/>
      </c>
      <c r="K9" s="35"/>
      <c r="L9" s="35"/>
      <c r="M9" s="35"/>
      <c r="N9" s="35"/>
      <c r="O9" s="35"/>
      <c r="P9" s="35"/>
      <c r="Q9" s="35"/>
      <c r="R9" s="35"/>
      <c r="S9" s="35"/>
      <c r="T9" s="35"/>
      <c r="U9" s="35"/>
      <c r="V9" s="35"/>
      <c r="W9" s="35"/>
      <c r="X9" s="35"/>
      <c r="Y9" s="35"/>
      <c r="Z9" s="35"/>
    </row>
    <row r="10" ht="22.5" customHeight="1">
      <c r="A10" s="48"/>
      <c r="B10" s="49" t="s">
        <v>64</v>
      </c>
      <c r="C10" s="41">
        <v>14.25</v>
      </c>
      <c r="D10" s="59" t="s">
        <v>54</v>
      </c>
      <c r="E10" s="51">
        <f t="shared" si="1"/>
        <v>0</v>
      </c>
      <c r="F10" s="52">
        <f>IFERROR(ROUND(E10 / Totals_11[$ Subtotal], 4), 0)
</f>
        <v>0</v>
      </c>
      <c r="G10" s="53">
        <f>IFERROR(F10*(Totals_11[$ Tax Amount]+Totals_11[$ Tip Amount]), 0)
</f>
        <v>0</v>
      </c>
      <c r="H10" s="51">
        <f t="shared" si="2"/>
        <v>0</v>
      </c>
      <c r="I10" s="54" t="b">
        <v>0</v>
      </c>
      <c r="J10" s="55" t="str">
        <f t="shared" si="3"/>
        <v/>
      </c>
      <c r="K10" s="35"/>
      <c r="L10" s="35"/>
      <c r="M10" s="35"/>
      <c r="N10" s="35"/>
      <c r="O10" s="35"/>
      <c r="P10" s="35"/>
      <c r="Q10" s="35"/>
      <c r="R10" s="35"/>
      <c r="S10" s="35"/>
      <c r="T10" s="35"/>
      <c r="U10" s="35"/>
      <c r="V10" s="35"/>
      <c r="W10" s="35"/>
      <c r="X10" s="35"/>
      <c r="Y10" s="35"/>
      <c r="Z10" s="35"/>
    </row>
    <row r="11" ht="22.5" customHeight="1">
      <c r="A11" s="48" t="s">
        <v>65</v>
      </c>
      <c r="B11" s="49"/>
      <c r="C11" s="41"/>
      <c r="D11" s="59" t="s">
        <v>44</v>
      </c>
      <c r="E11" s="51">
        <f t="shared" si="1"/>
        <v>15.75</v>
      </c>
      <c r="F11" s="52">
        <f>IFERROR(ROUND(E11 / Totals_11[$ Subtotal], 4), 0)
</f>
        <v>0.3333</v>
      </c>
      <c r="G11" s="51">
        <f>IFERROR(F11*(Totals_11[$ Tax Amount]+Totals_11[$ Tip Amount]), 0)
</f>
        <v>1.626504</v>
      </c>
      <c r="H11" s="51">
        <f t="shared" si="2"/>
        <v>17.376504</v>
      </c>
      <c r="I11" s="54" t="b">
        <v>0</v>
      </c>
      <c r="J11" s="55" t="str">
        <f t="shared" si="3"/>
        <v>Bubby ($17.38) ❌</v>
      </c>
      <c r="K11" s="35"/>
      <c r="L11" s="35"/>
      <c r="M11" s="35"/>
      <c r="N11" s="35"/>
      <c r="O11" s="35"/>
      <c r="P11" s="35"/>
      <c r="Q11" s="35"/>
      <c r="R11" s="35"/>
      <c r="S11" s="35"/>
      <c r="T11" s="35"/>
      <c r="U11" s="35"/>
      <c r="V11" s="35"/>
      <c r="W11" s="35"/>
      <c r="X11" s="35"/>
      <c r="Y11" s="35"/>
      <c r="Z11" s="35"/>
    </row>
    <row r="12" ht="22.5" customHeight="1">
      <c r="A12" s="48" t="s">
        <v>66</v>
      </c>
      <c r="B12" s="49"/>
      <c r="C12" s="41"/>
      <c r="D12" s="59" t="s">
        <v>44</v>
      </c>
      <c r="E12" s="51">
        <f t="shared" si="1"/>
        <v>15.75</v>
      </c>
      <c r="F12" s="52">
        <f>IFERROR(ROUND(E12 / Totals_11[$ Subtotal], 4), 0)
</f>
        <v>0.3333</v>
      </c>
      <c r="G12" s="51">
        <f>IFERROR(F12*(Totals_11[$ Tax Amount]+Totals_11[$ Tip Amount]), 0)
</f>
        <v>1.626504</v>
      </c>
      <c r="H12" s="51">
        <f t="shared" si="2"/>
        <v>17.376504</v>
      </c>
      <c r="I12" s="54" t="b">
        <v>0</v>
      </c>
      <c r="J12" s="55" t="str">
        <f t="shared" si="3"/>
        <v>Lady Noelle of the Archives ($17.38) ❌</v>
      </c>
      <c r="K12" s="35"/>
      <c r="L12" s="35"/>
      <c r="M12" s="35"/>
      <c r="N12" s="35"/>
      <c r="O12" s="35"/>
      <c r="P12" s="35"/>
      <c r="Q12" s="35"/>
      <c r="R12" s="35"/>
      <c r="S12" s="35"/>
      <c r="T12" s="35"/>
      <c r="U12" s="35"/>
      <c r="V12" s="35"/>
      <c r="W12" s="35"/>
      <c r="X12" s="35"/>
      <c r="Y12" s="35"/>
      <c r="Z12" s="35"/>
    </row>
    <row r="13" ht="22.5" customHeight="1">
      <c r="A13" s="48" t="s">
        <v>67</v>
      </c>
      <c r="B13" s="49"/>
      <c r="C13" s="41"/>
      <c r="D13" s="59" t="s">
        <v>44</v>
      </c>
      <c r="E13" s="51">
        <f t="shared" si="1"/>
        <v>15.75</v>
      </c>
      <c r="F13" s="52">
        <f>IFERROR(ROUND(E13 / Totals_11[$ Subtotal], 4), 0)
</f>
        <v>0.3333</v>
      </c>
      <c r="G13" s="51">
        <f>IFERROR(F13*(Totals_11[$ Tax Amount]+Totals_11[$ Tip Amount]), 0)
</f>
        <v>1.626504</v>
      </c>
      <c r="H13" s="51">
        <f t="shared" si="2"/>
        <v>17.376504</v>
      </c>
      <c r="I13" s="54" t="b">
        <v>0</v>
      </c>
      <c r="J13" s="55" t="str">
        <f t="shared" si="3"/>
        <v>Sabine the Machine ($17.38) ❌</v>
      </c>
      <c r="K13" s="35"/>
      <c r="L13" s="35"/>
      <c r="M13" s="35"/>
      <c r="N13" s="35"/>
      <c r="O13" s="35"/>
      <c r="P13" s="35"/>
      <c r="Q13" s="35"/>
      <c r="R13" s="35"/>
      <c r="S13" s="35"/>
      <c r="T13" s="35"/>
      <c r="U13" s="35"/>
      <c r="V13" s="35"/>
      <c r="W13" s="35"/>
      <c r="X13" s="35"/>
      <c r="Y13" s="35"/>
      <c r="Z13" s="35"/>
    </row>
    <row r="14" ht="22.5" customHeight="1">
      <c r="A14" s="58"/>
      <c r="B14" s="49"/>
      <c r="C14" s="41"/>
      <c r="D14" s="59" t="s">
        <v>55</v>
      </c>
      <c r="E14" s="51">
        <f t="shared" si="1"/>
        <v>0</v>
      </c>
      <c r="F14" s="52">
        <f>IFERROR(ROUND(E14 / Totals_11[$ Subtotal], 4), 0)
</f>
        <v>0</v>
      </c>
      <c r="G14" s="51">
        <f>IFERROR(F14*(Totals_11[$ Tax Amount]+Totals_11[$ Tip Amount]), 0)
</f>
        <v>0</v>
      </c>
      <c r="H14" s="51">
        <f t="shared" si="2"/>
        <v>0</v>
      </c>
      <c r="I14" s="54" t="b">
        <v>0</v>
      </c>
      <c r="J14" s="55" t="str">
        <f t="shared" si="3"/>
        <v/>
      </c>
      <c r="K14" s="35"/>
      <c r="L14" s="35"/>
      <c r="M14" s="35"/>
      <c r="N14" s="35"/>
      <c r="O14" s="35"/>
      <c r="P14" s="35"/>
      <c r="Q14" s="35"/>
      <c r="R14" s="35"/>
      <c r="S14" s="35"/>
      <c r="T14" s="35"/>
      <c r="U14" s="35"/>
      <c r="V14" s="35"/>
      <c r="W14" s="35"/>
      <c r="X14" s="35"/>
      <c r="Y14" s="35"/>
      <c r="Z14" s="35"/>
    </row>
    <row r="15" ht="22.5" customHeight="1">
      <c r="A15" s="58"/>
      <c r="B15" s="49"/>
      <c r="C15" s="41"/>
      <c r="D15" s="59" t="s">
        <v>55</v>
      </c>
      <c r="E15" s="51">
        <f t="shared" si="1"/>
        <v>0</v>
      </c>
      <c r="F15" s="52">
        <f>IFERROR(ROUND(E15 / Totals_11[$ Subtotal], 4), 0)
</f>
        <v>0</v>
      </c>
      <c r="G15" s="51">
        <f>IFERROR(F15*(Totals_11[$ Tax Amount]+Totals_11[$ Tip Amount]), 0)
</f>
        <v>0</v>
      </c>
      <c r="H15" s="51">
        <f t="shared" si="2"/>
        <v>0</v>
      </c>
      <c r="I15" s="54" t="b">
        <v>0</v>
      </c>
      <c r="J15" s="55" t="str">
        <f t="shared" si="3"/>
        <v/>
      </c>
      <c r="K15" s="35"/>
      <c r="L15" s="35"/>
      <c r="M15" s="35"/>
      <c r="N15" s="35"/>
      <c r="O15" s="35"/>
      <c r="P15" s="35"/>
      <c r="Q15" s="35"/>
      <c r="R15" s="35"/>
      <c r="S15" s="35"/>
      <c r="T15" s="35"/>
      <c r="U15" s="35"/>
      <c r="V15" s="35"/>
      <c r="W15" s="35"/>
      <c r="X15" s="35"/>
      <c r="Y15" s="35"/>
      <c r="Z15" s="35"/>
    </row>
    <row r="16" ht="22.5" customHeight="1">
      <c r="A16" s="48"/>
      <c r="B16" s="49"/>
      <c r="C16" s="41"/>
      <c r="D16" s="59" t="s">
        <v>55</v>
      </c>
      <c r="E16" s="51">
        <f t="shared" si="1"/>
        <v>0</v>
      </c>
      <c r="F16" s="52">
        <f>IFERROR(ROUND(E16 / Totals_11[$ Subtotal], 4), 0)
</f>
        <v>0</v>
      </c>
      <c r="G16" s="51">
        <f>IFERROR(F16*(Totals_11[$ Tax Amount]+Totals_11[$ Tip Amount]), 0)
</f>
        <v>0</v>
      </c>
      <c r="H16" s="51">
        <f t="shared" si="2"/>
        <v>0</v>
      </c>
      <c r="I16" s="54" t="b">
        <v>0</v>
      </c>
      <c r="J16" s="55" t="str">
        <f t="shared" si="3"/>
        <v/>
      </c>
      <c r="K16" s="35"/>
      <c r="L16" s="35"/>
      <c r="M16" s="35"/>
      <c r="N16" s="35"/>
      <c r="O16" s="35"/>
      <c r="P16" s="35"/>
      <c r="Q16" s="35"/>
      <c r="R16" s="35"/>
      <c r="S16" s="35"/>
      <c r="T16" s="35"/>
      <c r="U16" s="35"/>
      <c r="V16" s="35"/>
      <c r="W16" s="35"/>
      <c r="X16" s="35"/>
      <c r="Y16" s="35"/>
      <c r="Z16" s="35"/>
    </row>
    <row r="17" ht="22.5" customHeight="1">
      <c r="A17" s="48"/>
      <c r="B17" s="56"/>
      <c r="C17" s="41"/>
      <c r="D17" s="59" t="s">
        <v>55</v>
      </c>
      <c r="E17" s="51">
        <f t="shared" si="1"/>
        <v>0</v>
      </c>
      <c r="F17" s="52">
        <f>IFERROR(ROUND(E17 / Totals_11[$ Subtotal], 4), 0)
</f>
        <v>0</v>
      </c>
      <c r="G17" s="51">
        <f>IFERROR(F17*(Totals_11[$ Tax Amount]+Totals_11[$ Tip Amount]), 0)
</f>
        <v>0</v>
      </c>
      <c r="H17" s="51">
        <f t="shared" si="2"/>
        <v>0</v>
      </c>
      <c r="I17" s="54" t="b">
        <v>0</v>
      </c>
      <c r="J17" s="55" t="str">
        <f t="shared" si="3"/>
        <v/>
      </c>
      <c r="K17" s="35"/>
      <c r="L17" s="35"/>
      <c r="M17" s="35"/>
      <c r="N17" s="35"/>
      <c r="O17" s="35"/>
      <c r="P17" s="35"/>
      <c r="Q17" s="35"/>
      <c r="R17" s="35"/>
      <c r="S17" s="35"/>
      <c r="T17" s="35"/>
      <c r="U17" s="35"/>
      <c r="V17" s="35"/>
      <c r="W17" s="35"/>
      <c r="X17" s="35"/>
      <c r="Y17" s="35"/>
      <c r="Z17" s="35"/>
    </row>
    <row r="18" ht="22.5" customHeight="1">
      <c r="A18" s="48"/>
      <c r="B18" s="49"/>
      <c r="C18" s="41"/>
      <c r="D18" s="59" t="s">
        <v>55</v>
      </c>
      <c r="E18" s="51">
        <f t="shared" si="1"/>
        <v>0</v>
      </c>
      <c r="F18" s="52">
        <f>IFERROR(ROUND(E18 / Totals_11[$ Subtotal], 4), 0)
</f>
        <v>0</v>
      </c>
      <c r="G18" s="51">
        <f>IFERROR(F18*(Totals_11[$ Tax Amount]+Totals_11[$ Tip Amount]), 0)
</f>
        <v>0</v>
      </c>
      <c r="H18" s="51">
        <f t="shared" si="2"/>
        <v>0</v>
      </c>
      <c r="I18" s="54" t="b">
        <v>0</v>
      </c>
      <c r="J18" s="55" t="str">
        <f t="shared" si="3"/>
        <v/>
      </c>
      <c r="K18" s="35"/>
      <c r="L18" s="35"/>
      <c r="M18" s="35"/>
      <c r="N18" s="35"/>
      <c r="O18" s="35"/>
      <c r="P18" s="35"/>
      <c r="Q18" s="35"/>
      <c r="R18" s="35"/>
      <c r="S18" s="35"/>
      <c r="T18" s="35"/>
      <c r="U18" s="35"/>
      <c r="V18" s="35"/>
      <c r="W18" s="35"/>
      <c r="X18" s="35"/>
      <c r="Y18" s="35"/>
      <c r="Z18" s="35"/>
    </row>
    <row r="19" ht="22.5" customHeight="1">
      <c r="A19" s="48"/>
      <c r="B19" s="49"/>
      <c r="C19" s="41"/>
      <c r="D19" s="59" t="s">
        <v>55</v>
      </c>
      <c r="E19" s="51">
        <f t="shared" si="1"/>
        <v>0</v>
      </c>
      <c r="F19" s="52">
        <f>IFERROR(ROUND(E19 / Totals_11[$ Subtotal], 4), 0)
</f>
        <v>0</v>
      </c>
      <c r="G19" s="51">
        <f>IFERROR(F19*(Totals_11[$ Tax Amount]+Totals_11[$ Tip Amount]), 0)
</f>
        <v>0</v>
      </c>
      <c r="H19" s="51">
        <f t="shared" si="2"/>
        <v>0</v>
      </c>
      <c r="I19" s="54" t="b">
        <v>0</v>
      </c>
      <c r="J19" s="55" t="str">
        <f t="shared" si="3"/>
        <v/>
      </c>
      <c r="K19" s="35"/>
      <c r="L19" s="35"/>
      <c r="M19" s="35"/>
      <c r="N19" s="35"/>
      <c r="O19" s="35"/>
      <c r="P19" s="35"/>
      <c r="Q19" s="35"/>
      <c r="R19" s="35"/>
      <c r="S19" s="35"/>
      <c r="T19" s="35"/>
      <c r="U19" s="35"/>
      <c r="V19" s="35"/>
      <c r="W19" s="35"/>
      <c r="X19" s="35"/>
      <c r="Y19" s="35"/>
      <c r="Z19" s="35"/>
    </row>
    <row r="20" ht="22.5" customHeight="1">
      <c r="A20" s="48"/>
      <c r="B20" s="49"/>
      <c r="C20" s="41"/>
      <c r="D20" s="59" t="s">
        <v>55</v>
      </c>
      <c r="E20" s="51">
        <f t="shared" si="1"/>
        <v>0</v>
      </c>
      <c r="F20" s="52">
        <f>IFERROR(ROUND(E20 / Totals_11[$ Subtotal], 4), 0)
</f>
        <v>0</v>
      </c>
      <c r="G20" s="51">
        <f>IFERROR(F20*(Totals_11[$ Tax Amount]+Totals_11[$ Tip Amount]), 0)
</f>
        <v>0</v>
      </c>
      <c r="H20" s="51">
        <f t="shared" si="2"/>
        <v>0</v>
      </c>
      <c r="I20" s="54" t="b">
        <v>0</v>
      </c>
      <c r="J20" s="55" t="str">
        <f t="shared" si="3"/>
        <v/>
      </c>
      <c r="K20" s="35"/>
      <c r="L20" s="35"/>
      <c r="M20" s="35"/>
      <c r="N20" s="35"/>
      <c r="O20" s="35"/>
      <c r="P20" s="35"/>
      <c r="Q20" s="35"/>
      <c r="R20" s="35"/>
      <c r="S20" s="35"/>
      <c r="T20" s="35"/>
      <c r="U20" s="35"/>
      <c r="V20" s="35"/>
      <c r="W20" s="35"/>
      <c r="X20" s="35"/>
      <c r="Y20" s="35"/>
      <c r="Z20" s="35"/>
    </row>
    <row r="21" ht="22.5" customHeight="1">
      <c r="A21" s="48"/>
      <c r="B21" s="49"/>
      <c r="C21" s="41"/>
      <c r="D21" s="59" t="s">
        <v>55</v>
      </c>
      <c r="E21" s="51">
        <f t="shared" si="1"/>
        <v>0</v>
      </c>
      <c r="F21" s="52">
        <f>IFERROR(ROUND(E21 / Totals_11[$ Subtotal], 4), 0)
</f>
        <v>0</v>
      </c>
      <c r="G21" s="51">
        <f>IFERROR(F21*(Totals_11[$ Tax Amount]+Totals_11[$ Tip Amount]), 0)
</f>
        <v>0</v>
      </c>
      <c r="H21" s="51">
        <f t="shared" si="2"/>
        <v>0</v>
      </c>
      <c r="I21" s="54" t="b">
        <v>0</v>
      </c>
      <c r="J21" s="55" t="str">
        <f t="shared" si="3"/>
        <v/>
      </c>
      <c r="K21" s="35"/>
      <c r="L21" s="35"/>
      <c r="M21" s="35"/>
      <c r="N21" s="35"/>
      <c r="O21" s="35"/>
      <c r="P21" s="35"/>
      <c r="Q21" s="35"/>
      <c r="R21" s="35"/>
      <c r="S21" s="35"/>
      <c r="T21" s="35"/>
      <c r="U21" s="35"/>
      <c r="V21" s="35"/>
      <c r="W21" s="35"/>
      <c r="X21" s="35"/>
      <c r="Y21" s="35"/>
      <c r="Z21" s="35"/>
    </row>
    <row r="22" ht="22.5" customHeight="1">
      <c r="A22" s="48"/>
      <c r="B22" s="49"/>
      <c r="C22" s="41"/>
      <c r="D22" s="59" t="s">
        <v>55</v>
      </c>
      <c r="E22" s="51">
        <f t="shared" si="1"/>
        <v>0</v>
      </c>
      <c r="F22" s="52">
        <f>IFERROR(ROUND(E22 / Totals_11[$ Subtotal], 4), 0)
</f>
        <v>0</v>
      </c>
      <c r="G22" s="51">
        <f>IFERROR(F22*(Totals_11[$ Tax Amount]+Totals_11[$ Tip Amount]), 0)
</f>
        <v>0</v>
      </c>
      <c r="H22" s="51">
        <f t="shared" si="2"/>
        <v>0</v>
      </c>
      <c r="I22" s="54" t="b">
        <v>0</v>
      </c>
      <c r="J22" s="55" t="str">
        <f t="shared" si="3"/>
        <v/>
      </c>
      <c r="K22" s="35"/>
      <c r="L22" s="35"/>
      <c r="M22" s="35"/>
      <c r="N22" s="35"/>
      <c r="O22" s="35"/>
      <c r="P22" s="35"/>
      <c r="Q22" s="35"/>
      <c r="R22" s="35"/>
      <c r="S22" s="35"/>
      <c r="T22" s="35"/>
      <c r="U22" s="35"/>
      <c r="V22" s="35"/>
      <c r="W22" s="35"/>
      <c r="X22" s="35"/>
      <c r="Y22" s="35"/>
      <c r="Z22" s="35"/>
    </row>
    <row r="23" ht="22.5" customHeight="1">
      <c r="A23" s="48"/>
      <c r="B23" s="56"/>
      <c r="C23" s="41"/>
      <c r="D23" s="59" t="s">
        <v>55</v>
      </c>
      <c r="E23" s="51">
        <f t="shared" si="1"/>
        <v>0</v>
      </c>
      <c r="F23" s="52">
        <f>IFERROR(ROUND(E23 / Totals_11[$ Subtotal], 4), 0)
</f>
        <v>0</v>
      </c>
      <c r="G23" s="51">
        <f>IFERROR(F23*(Totals_11[$ Tax Amount]+Totals_11[$ Tip Amount]), 0)
</f>
        <v>0</v>
      </c>
      <c r="H23" s="51">
        <f t="shared" si="2"/>
        <v>0</v>
      </c>
      <c r="I23" s="54" t="b">
        <v>0</v>
      </c>
      <c r="J23" s="55" t="str">
        <f t="shared" si="3"/>
        <v/>
      </c>
      <c r="K23" s="35"/>
      <c r="L23" s="35"/>
      <c r="M23" s="35"/>
      <c r="N23" s="35"/>
      <c r="O23" s="35"/>
      <c r="P23" s="35"/>
      <c r="Q23" s="35"/>
      <c r="R23" s="35"/>
      <c r="S23" s="35"/>
      <c r="T23" s="35"/>
      <c r="U23" s="35"/>
      <c r="V23" s="35"/>
      <c r="W23" s="35"/>
      <c r="X23" s="35"/>
      <c r="Y23" s="35"/>
      <c r="Z23" s="35"/>
    </row>
    <row r="24" ht="22.5" customHeight="1">
      <c r="A24" s="58"/>
      <c r="B24" s="56"/>
      <c r="C24" s="57"/>
      <c r="D24" s="59" t="s">
        <v>55</v>
      </c>
      <c r="E24" s="51">
        <f t="shared" si="1"/>
        <v>0</v>
      </c>
      <c r="F24" s="52">
        <f>IFERROR(ROUND(E24 / Totals_11[$ Subtotal], 4), 0)
</f>
        <v>0</v>
      </c>
      <c r="G24" s="51">
        <f>IFERROR(F24*(Totals_11[$ Tax Amount]+Totals_11[$ Tip Amount]), 0)
</f>
        <v>0</v>
      </c>
      <c r="H24" s="51">
        <f t="shared" si="2"/>
        <v>0</v>
      </c>
      <c r="I24" s="54" t="b">
        <v>0</v>
      </c>
      <c r="J24" s="55" t="str">
        <f t="shared" si="3"/>
        <v/>
      </c>
      <c r="K24" s="35"/>
      <c r="L24" s="35"/>
      <c r="M24" s="35"/>
      <c r="N24" s="35"/>
      <c r="O24" s="35"/>
      <c r="P24" s="35"/>
      <c r="Q24" s="35"/>
      <c r="R24" s="35"/>
      <c r="S24" s="35"/>
      <c r="T24" s="35"/>
      <c r="U24" s="35"/>
      <c r="V24" s="35"/>
      <c r="W24" s="35"/>
      <c r="X24" s="35"/>
      <c r="Y24" s="35"/>
      <c r="Z24" s="35"/>
    </row>
    <row r="25" ht="22.5" customHeight="1">
      <c r="A25" s="58"/>
      <c r="B25" s="56"/>
      <c r="C25" s="57"/>
      <c r="D25" s="59" t="s">
        <v>55</v>
      </c>
      <c r="E25" s="51">
        <f t="shared" si="1"/>
        <v>0</v>
      </c>
      <c r="F25" s="52">
        <f>IFERROR(ROUND(E25 / Totals_11[$ Subtotal], 4), 0)
</f>
        <v>0</v>
      </c>
      <c r="G25" s="51">
        <f>IFERROR(F25*(Totals_11[$ Tax Amount]+Totals_11[$ Tip Amount]), 0)
</f>
        <v>0</v>
      </c>
      <c r="H25" s="51">
        <f t="shared" si="2"/>
        <v>0</v>
      </c>
      <c r="I25" s="54" t="b">
        <v>0</v>
      </c>
      <c r="J25" s="55" t="str">
        <f t="shared" si="3"/>
        <v/>
      </c>
      <c r="K25" s="35"/>
      <c r="L25" s="35"/>
      <c r="M25" s="35"/>
      <c r="N25" s="35"/>
      <c r="O25" s="35"/>
      <c r="P25" s="35"/>
      <c r="Q25" s="35"/>
      <c r="R25" s="35"/>
      <c r="S25" s="35"/>
      <c r="T25" s="35"/>
      <c r="U25" s="35"/>
      <c r="V25" s="35"/>
      <c r="W25" s="35"/>
      <c r="X25" s="35"/>
      <c r="Y25" s="35"/>
      <c r="Z25" s="35"/>
    </row>
    <row r="26" ht="22.5" customHeight="1">
      <c r="A26" s="58"/>
      <c r="B26" s="56"/>
      <c r="C26" s="57"/>
      <c r="D26" s="59" t="s">
        <v>55</v>
      </c>
      <c r="E26" s="51">
        <f t="shared" si="1"/>
        <v>0</v>
      </c>
      <c r="F26" s="52">
        <f>IFERROR(ROUND(E26 / Totals_11[$ Subtotal], 4), 0)
</f>
        <v>0</v>
      </c>
      <c r="G26" s="51">
        <f>IFERROR(F26*(Totals_11[$ Tax Amount]+Totals_11[$ Tip Amount]), 0)
</f>
        <v>0</v>
      </c>
      <c r="H26" s="51">
        <f t="shared" si="2"/>
        <v>0</v>
      </c>
      <c r="I26" s="54" t="b">
        <v>0</v>
      </c>
      <c r="J26" s="55" t="str">
        <f t="shared" si="3"/>
        <v/>
      </c>
      <c r="K26" s="35"/>
      <c r="L26" s="35"/>
      <c r="M26" s="35"/>
      <c r="N26" s="35"/>
      <c r="O26" s="35"/>
      <c r="P26" s="35"/>
      <c r="Q26" s="35"/>
      <c r="R26" s="35"/>
      <c r="S26" s="35"/>
      <c r="T26" s="35"/>
      <c r="U26" s="35"/>
      <c r="V26" s="35"/>
      <c r="W26" s="35"/>
      <c r="X26" s="35"/>
      <c r="Y26" s="35"/>
      <c r="Z26" s="35"/>
    </row>
    <row r="27" ht="22.5" customHeight="1">
      <c r="A27" s="58"/>
      <c r="B27" s="56"/>
      <c r="C27" s="57"/>
      <c r="D27" s="59" t="s">
        <v>55</v>
      </c>
      <c r="E27" s="51">
        <f t="shared" si="1"/>
        <v>0</v>
      </c>
      <c r="F27" s="52">
        <f>IFERROR(ROUND(E27 / Totals_11[$ Subtotal], 4), 0)
</f>
        <v>0</v>
      </c>
      <c r="G27" s="51">
        <f>IFERROR(F27*(Totals_11[$ Tax Amount]+Totals_11[$ Tip Amount]), 0)
</f>
        <v>0</v>
      </c>
      <c r="H27" s="51">
        <f t="shared" si="2"/>
        <v>0</v>
      </c>
      <c r="I27" s="54" t="b">
        <v>0</v>
      </c>
      <c r="J27" s="55" t="str">
        <f t="shared" si="3"/>
        <v/>
      </c>
      <c r="K27" s="35"/>
      <c r="L27" s="35"/>
      <c r="M27" s="35"/>
      <c r="N27" s="35"/>
      <c r="O27" s="35"/>
      <c r="P27" s="35"/>
      <c r="Q27" s="35"/>
      <c r="R27" s="35"/>
      <c r="S27" s="35"/>
      <c r="T27" s="35"/>
      <c r="U27" s="35"/>
      <c r="V27" s="35"/>
      <c r="W27" s="35"/>
      <c r="X27" s="35"/>
      <c r="Y27" s="35"/>
      <c r="Z27" s="35"/>
    </row>
  </sheetData>
  <conditionalFormatting sqref="D8:D27">
    <cfRule type="colorScale" priority="1">
      <colorScale>
        <cfvo type="min"/>
        <cfvo type="max"/>
        <color rgb="FFFFFFFF"/>
        <color rgb="FF57BB8A"/>
      </colorScale>
    </cfRule>
  </conditionalFormatting>
  <conditionalFormatting sqref="J8:J27">
    <cfRule type="expression" dxfId="7" priority="2">
      <formula>AND(I8=FALSE,E8&lt;&gt;0)</formula>
    </cfRule>
  </conditionalFormatting>
  <dataValidations>
    <dataValidation type="decimal" allowBlank="1" showDropDown="1" showInputMessage="1" prompt="Enter a tip percentage between 0 and 100" sqref="B1">
      <formula1>0.0</formula1>
      <formula2>100.0</formula2>
    </dataValidation>
    <dataValidation type="custom" allowBlank="1" showDropDown="1" sqref="B4:E4 C8:C27 E8:G27">
      <formula1>AND(ISNUMBER(B4),(NOT(OR(NOT(ISERROR(DATEVALUE(B4))), AND(ISNUMBER(B4), LEFT(CELL("format", B4))="D")))))</formula1>
    </dataValidation>
    <dataValidation type="list" allowBlank="1" sqref="D8:D27">
      <formula1>"N/A,Solo,Appetizer,Treated"</formula1>
    </dataValidation>
    <dataValidation allowBlank="1" showDropDown="1" sqref="B8:B27"/>
  </dataValidation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4.5"/>
    <col customWidth="1" min="2" max="2" width="13.88"/>
    <col customWidth="1" min="3" max="3" width="12.25"/>
    <col customWidth="1" min="4" max="4" width="14.25"/>
    <col customWidth="1" min="5" max="5" width="12.5"/>
    <col customWidth="1" min="6" max="6" width="14.75"/>
    <col customWidth="1" min="7" max="7" width="12.13"/>
    <col customWidth="1" min="8" max="8" width="10.13"/>
    <col customWidth="1" min="9" max="9" width="11.0"/>
    <col customWidth="1" min="10" max="10" width="22.25"/>
    <col customWidth="1" min="11" max="11" width="15.88"/>
  </cols>
  <sheetData>
    <row r="1" ht="57.0" customHeight="1">
      <c r="A1" s="33" t="s">
        <v>56</v>
      </c>
      <c r="B1" s="34"/>
      <c r="C1" s="35"/>
      <c r="D1" s="35"/>
      <c r="E1" s="35"/>
      <c r="F1" s="35"/>
      <c r="G1" s="35"/>
      <c r="H1" s="35"/>
      <c r="I1" s="35"/>
      <c r="J1" s="35"/>
      <c r="K1" s="35"/>
      <c r="L1" s="35"/>
      <c r="M1" s="35"/>
      <c r="N1" s="35"/>
      <c r="O1" s="35"/>
      <c r="P1" s="35"/>
      <c r="Q1" s="35"/>
      <c r="R1" s="35"/>
      <c r="S1" s="35"/>
      <c r="T1" s="35"/>
      <c r="U1" s="35"/>
      <c r="V1" s="35"/>
      <c r="W1" s="35"/>
      <c r="X1" s="35"/>
      <c r="Y1" s="35"/>
      <c r="Z1" s="35"/>
      <c r="AA1" s="35"/>
    </row>
    <row r="2" outlineLevel="1">
      <c r="A2" s="36" t="s">
        <v>29</v>
      </c>
      <c r="B2" s="37"/>
      <c r="C2" s="37"/>
      <c r="D2" s="37"/>
      <c r="E2" s="37"/>
      <c r="F2" s="35"/>
      <c r="G2" s="35"/>
      <c r="H2" s="35"/>
      <c r="I2" s="35"/>
      <c r="J2" s="35"/>
      <c r="K2" s="35"/>
      <c r="L2" s="35"/>
      <c r="M2" s="35"/>
      <c r="N2" s="35"/>
      <c r="O2" s="35"/>
      <c r="P2" s="35"/>
      <c r="Q2" s="35"/>
      <c r="R2" s="35"/>
      <c r="S2" s="35"/>
      <c r="T2" s="35"/>
      <c r="U2" s="35"/>
      <c r="V2" s="35"/>
      <c r="W2" s="35"/>
      <c r="X2" s="35"/>
      <c r="Y2" s="35"/>
      <c r="Z2" s="35"/>
      <c r="AA2" s="35"/>
    </row>
    <row r="3" ht="22.5" customHeight="1" outlineLevel="1">
      <c r="A3" s="38" t="s">
        <v>30</v>
      </c>
      <c r="B3" s="39" t="s">
        <v>31</v>
      </c>
      <c r="C3" s="39" t="s">
        <v>32</v>
      </c>
      <c r="D3" s="40" t="s">
        <v>33</v>
      </c>
      <c r="E3" s="39" t="s">
        <v>34</v>
      </c>
      <c r="F3" s="35"/>
      <c r="G3" s="35"/>
      <c r="H3" s="35"/>
      <c r="I3" s="35"/>
      <c r="J3" s="35"/>
      <c r="K3" s="35"/>
      <c r="L3" s="35"/>
      <c r="M3" s="35"/>
      <c r="N3" s="35"/>
      <c r="O3" s="35"/>
      <c r="P3" s="35"/>
      <c r="Q3" s="35"/>
      <c r="R3" s="35"/>
      <c r="S3" s="35"/>
      <c r="T3" s="35"/>
      <c r="U3" s="35"/>
      <c r="V3" s="35"/>
      <c r="W3" s="35"/>
      <c r="X3" s="35"/>
      <c r="Y3" s="35"/>
      <c r="Z3" s="35"/>
      <c r="AA3" s="35"/>
    </row>
    <row r="4" ht="22.5" customHeight="1" outlineLevel="1">
      <c r="A4" s="36" t="s">
        <v>35</v>
      </c>
      <c r="B4" s="41">
        <v>3.46</v>
      </c>
      <c r="C4" s="41">
        <v>6.0</v>
      </c>
      <c r="D4" s="42">
        <f>SUM(Food_Ordered_10[$ Dish Price])</f>
        <v>37.4</v>
      </c>
      <c r="E4" s="43">
        <f>ROUND(SUM(H:H),4)</f>
        <v>46.86</v>
      </c>
      <c r="F4" s="35"/>
      <c r="G4" s="35"/>
      <c r="H4" s="35"/>
      <c r="I4" s="35"/>
      <c r="J4" s="35"/>
      <c r="K4" s="35"/>
      <c r="L4" s="35"/>
      <c r="M4" s="35"/>
      <c r="N4" s="35"/>
      <c r="O4" s="35"/>
      <c r="P4" s="35"/>
      <c r="Q4" s="35"/>
      <c r="R4" s="35"/>
      <c r="S4" s="35"/>
      <c r="T4" s="35"/>
      <c r="U4" s="35"/>
      <c r="V4" s="35"/>
      <c r="W4" s="35"/>
      <c r="X4" s="35"/>
      <c r="Y4" s="35"/>
      <c r="Z4" s="35"/>
      <c r="AA4" s="35"/>
    </row>
    <row r="5" ht="22.5" customHeight="1">
      <c r="A5" s="36" t="s">
        <v>36</v>
      </c>
      <c r="B5" s="44" t="str">
        <f>IFERROR("("&amp;TEXT(SUM(Totals_10[$ Tax Amount]/Totals_10[$ Subtotal]),"#,##0.00%")&amp;")",0)</f>
        <v>(9.25%)</v>
      </c>
      <c r="C5" s="44" t="str">
        <f>IFERROR("("&amp;TEXT(SUM(Totals_10[$ Tip Amount]/Totals_10[$ Subtotal]),"#,##0.00%")&amp;")",0)</f>
        <v>(16.04%)</v>
      </c>
      <c r="D5" s="45"/>
      <c r="E5" s="45"/>
      <c r="F5" s="35"/>
      <c r="G5" s="35"/>
      <c r="H5" s="35"/>
      <c r="I5" s="35"/>
      <c r="J5" s="35"/>
      <c r="K5" s="35"/>
      <c r="L5" s="35"/>
      <c r="M5" s="35"/>
      <c r="N5" s="35"/>
      <c r="O5" s="35"/>
      <c r="P5" s="35"/>
      <c r="Q5" s="35"/>
      <c r="R5" s="35"/>
      <c r="S5" s="35"/>
      <c r="T5" s="35"/>
      <c r="U5" s="35"/>
      <c r="V5" s="35"/>
      <c r="W5" s="35"/>
      <c r="X5" s="35"/>
      <c r="Y5" s="35"/>
      <c r="Z5" s="35"/>
      <c r="AA5" s="35"/>
    </row>
    <row r="6">
      <c r="A6" s="35"/>
      <c r="B6" s="35"/>
      <c r="C6" s="35"/>
      <c r="D6" s="35"/>
      <c r="E6" s="35"/>
      <c r="F6" s="35"/>
      <c r="G6" s="36"/>
      <c r="H6" s="35"/>
      <c r="I6" s="35"/>
      <c r="J6" s="35"/>
      <c r="K6" s="35"/>
      <c r="L6" s="35"/>
      <c r="M6" s="35"/>
      <c r="N6" s="35"/>
      <c r="O6" s="35"/>
      <c r="P6" s="35"/>
      <c r="Q6" s="35"/>
      <c r="R6" s="35"/>
      <c r="S6" s="35"/>
      <c r="T6" s="35"/>
      <c r="U6" s="35"/>
      <c r="V6" s="35"/>
      <c r="W6" s="35"/>
      <c r="X6" s="35"/>
      <c r="Y6" s="35"/>
      <c r="Z6" s="35"/>
      <c r="AA6" s="35"/>
    </row>
    <row r="7" ht="22.5" customHeight="1">
      <c r="A7" s="46" t="s">
        <v>37</v>
      </c>
      <c r="B7" s="46" t="s">
        <v>38</v>
      </c>
      <c r="C7" s="46" t="s">
        <v>39</v>
      </c>
      <c r="D7" s="46" t="s">
        <v>40</v>
      </c>
      <c r="E7" s="46" t="s">
        <v>12</v>
      </c>
      <c r="F7" s="47" t="s">
        <v>14</v>
      </c>
      <c r="G7" s="39" t="s">
        <v>16</v>
      </c>
      <c r="H7" s="39" t="s">
        <v>18</v>
      </c>
      <c r="I7" s="39" t="s">
        <v>41</v>
      </c>
      <c r="J7" s="39" t="s">
        <v>20</v>
      </c>
      <c r="K7" s="35"/>
      <c r="L7" s="35"/>
      <c r="M7" s="35"/>
      <c r="N7" s="35"/>
      <c r="O7" s="35"/>
      <c r="P7" s="35"/>
      <c r="Q7" s="35"/>
      <c r="R7" s="35"/>
      <c r="S7" s="35"/>
      <c r="T7" s="35"/>
      <c r="U7" s="35"/>
      <c r="V7" s="35"/>
      <c r="W7" s="35"/>
      <c r="X7" s="35"/>
      <c r="Y7" s="35"/>
      <c r="Z7" s="35"/>
    </row>
    <row r="8" ht="22.5" customHeight="1">
      <c r="A8" s="48" t="s">
        <v>68</v>
      </c>
      <c r="B8" s="49" t="s">
        <v>69</v>
      </c>
      <c r="C8" s="41">
        <v>13.5</v>
      </c>
      <c r="D8" s="59" t="s">
        <v>44</v>
      </c>
      <c r="E8" s="51">
        <f t="shared" ref="E8:E27" si="1">IF(OR(D8="Appetizer", D8="Treated",D8="N/A"), 0, SUMIF(A$8:A27, A8, C$8:C27) + (SUMIF(D$8:D27, "Appetizer", C$8:C27) + SUMIF(D$8:D27, "Treated", C$8:C27)) / COUNTIF(D$8:D27, "Solo"))
</f>
        <v>13.5</v>
      </c>
      <c r="F8" s="52">
        <f>IFERROR(ROUND(E8 / Totals_10[$ Subtotal], 4), 0)
</f>
        <v>0.361</v>
      </c>
      <c r="G8" s="53">
        <f>IFERROR(F8*(Totals_10[$ Tax Amount]+Totals_10[$ Tip Amount]), 0)
</f>
        <v>3.41506</v>
      </c>
      <c r="H8" s="51">
        <f t="shared" ref="H8:H27" si="2">E8+G8</f>
        <v>16.91506</v>
      </c>
      <c r="I8" s="54" t="b">
        <v>0</v>
      </c>
      <c r="J8" s="55" t="str">
        <f t="shared" ref="J8:J27" si="3">IF(E8=0,"",A8 &amp; " ($" &amp; TEXT(H8, "#,##0.00") &amp; ") " &amp; IF(I8=TRUE, "✅", "❌"))</f>
        <v>Darren ($16.92) ❌</v>
      </c>
      <c r="K8" s="35"/>
      <c r="L8" s="35"/>
      <c r="M8" s="35"/>
      <c r="N8" s="35"/>
      <c r="O8" s="35"/>
      <c r="P8" s="35"/>
      <c r="Q8" s="35"/>
      <c r="R8" s="35"/>
      <c r="S8" s="35"/>
      <c r="T8" s="35"/>
      <c r="U8" s="35"/>
      <c r="V8" s="35"/>
      <c r="W8" s="35"/>
      <c r="X8" s="35"/>
      <c r="Y8" s="35"/>
      <c r="Z8" s="35"/>
    </row>
    <row r="9" ht="22.5" customHeight="1">
      <c r="A9" s="48" t="s">
        <v>70</v>
      </c>
      <c r="B9" s="49" t="s">
        <v>71</v>
      </c>
      <c r="C9" s="41">
        <v>11.95</v>
      </c>
      <c r="D9" s="59" t="s">
        <v>44</v>
      </c>
      <c r="E9" s="51">
        <f t="shared" si="1"/>
        <v>11.95</v>
      </c>
      <c r="F9" s="52">
        <f>IFERROR(ROUND(E9 / Totals_10[$ Subtotal], 4), 0)
</f>
        <v>0.3195</v>
      </c>
      <c r="G9" s="51">
        <f>IFERROR(F9*(Totals_10[$ Tax Amount]+Totals_10[$ Tip Amount]), 0)
</f>
        <v>3.02247</v>
      </c>
      <c r="H9" s="51">
        <f t="shared" si="2"/>
        <v>14.97247</v>
      </c>
      <c r="I9" s="54" t="b">
        <v>0</v>
      </c>
      <c r="J9" s="55" t="str">
        <f t="shared" si="3"/>
        <v>Noelle ($14.97) ❌</v>
      </c>
      <c r="K9" s="35"/>
      <c r="L9" s="35"/>
      <c r="M9" s="35"/>
      <c r="N9" s="35"/>
      <c r="O9" s="35"/>
      <c r="P9" s="35"/>
      <c r="Q9" s="35"/>
      <c r="R9" s="35"/>
      <c r="S9" s="35"/>
      <c r="T9" s="35"/>
      <c r="U9" s="35"/>
      <c r="V9" s="35"/>
      <c r="W9" s="35"/>
      <c r="X9" s="35"/>
      <c r="Y9" s="35"/>
      <c r="Z9" s="35"/>
    </row>
    <row r="10" ht="22.5" customHeight="1">
      <c r="A10" s="48" t="s">
        <v>42</v>
      </c>
      <c r="B10" s="49" t="s">
        <v>72</v>
      </c>
      <c r="C10" s="41">
        <v>11.95</v>
      </c>
      <c r="D10" s="59" t="s">
        <v>44</v>
      </c>
      <c r="E10" s="51">
        <f t="shared" si="1"/>
        <v>11.95</v>
      </c>
      <c r="F10" s="52">
        <f>IFERROR(ROUND(E10 / Totals_10[$ Subtotal], 4), 0)
</f>
        <v>0.3195</v>
      </c>
      <c r="G10" s="53">
        <f>IFERROR(F10*(Totals_10[$ Tax Amount]+Totals_10[$ Tip Amount]), 0)
</f>
        <v>3.02247</v>
      </c>
      <c r="H10" s="51">
        <f t="shared" si="2"/>
        <v>14.97247</v>
      </c>
      <c r="I10" s="54" t="b">
        <v>0</v>
      </c>
      <c r="J10" s="55" t="str">
        <f t="shared" si="3"/>
        <v>Matt ($14.97) ❌</v>
      </c>
      <c r="K10" s="35"/>
      <c r="L10" s="35"/>
      <c r="M10" s="35"/>
      <c r="N10" s="35"/>
      <c r="O10" s="35"/>
      <c r="P10" s="35"/>
      <c r="Q10" s="35"/>
      <c r="R10" s="35"/>
      <c r="S10" s="35"/>
      <c r="T10" s="35"/>
      <c r="U10" s="35"/>
      <c r="V10" s="35"/>
      <c r="W10" s="35"/>
      <c r="X10" s="35"/>
      <c r="Y10" s="35"/>
      <c r="Z10" s="35"/>
    </row>
    <row r="11" ht="22.5" customHeight="1">
      <c r="A11" s="48"/>
      <c r="B11" s="49"/>
      <c r="C11" s="41"/>
      <c r="D11" s="59" t="s">
        <v>55</v>
      </c>
      <c r="E11" s="51">
        <f t="shared" si="1"/>
        <v>0</v>
      </c>
      <c r="F11" s="52">
        <f>IFERROR(ROUND(E11 / Totals_10[$ Subtotal], 4), 0)
</f>
        <v>0</v>
      </c>
      <c r="G11" s="51">
        <f>IFERROR(F11*(Totals_10[$ Tax Amount]+Totals_10[$ Tip Amount]), 0)
</f>
        <v>0</v>
      </c>
      <c r="H11" s="51">
        <f t="shared" si="2"/>
        <v>0</v>
      </c>
      <c r="I11" s="54" t="b">
        <v>0</v>
      </c>
      <c r="J11" s="55" t="str">
        <f t="shared" si="3"/>
        <v/>
      </c>
      <c r="K11" s="35"/>
      <c r="L11" s="35"/>
      <c r="M11" s="35"/>
      <c r="N11" s="35"/>
      <c r="O11" s="35"/>
      <c r="P11" s="35"/>
      <c r="Q11" s="35"/>
      <c r="R11" s="35"/>
      <c r="S11" s="35"/>
      <c r="T11" s="35"/>
      <c r="U11" s="35"/>
      <c r="V11" s="35"/>
      <c r="W11" s="35"/>
      <c r="X11" s="35"/>
      <c r="Y11" s="35"/>
      <c r="Z11" s="35"/>
    </row>
    <row r="12" ht="22.5" customHeight="1">
      <c r="A12" s="48"/>
      <c r="B12" s="49"/>
      <c r="C12" s="41"/>
      <c r="D12" s="59" t="s">
        <v>55</v>
      </c>
      <c r="E12" s="51">
        <f t="shared" si="1"/>
        <v>0</v>
      </c>
      <c r="F12" s="52">
        <f>IFERROR(ROUND(E12 / Totals_10[$ Subtotal], 4), 0)
</f>
        <v>0</v>
      </c>
      <c r="G12" s="51">
        <f>IFERROR(F12*(Totals_10[$ Tax Amount]+Totals_10[$ Tip Amount]), 0)
</f>
        <v>0</v>
      </c>
      <c r="H12" s="51">
        <f t="shared" si="2"/>
        <v>0</v>
      </c>
      <c r="I12" s="54" t="b">
        <v>0</v>
      </c>
      <c r="J12" s="55" t="str">
        <f t="shared" si="3"/>
        <v/>
      </c>
      <c r="K12" s="35"/>
      <c r="L12" s="35"/>
      <c r="M12" s="35"/>
      <c r="N12" s="35"/>
      <c r="O12" s="35"/>
      <c r="P12" s="35"/>
      <c r="Q12" s="35"/>
      <c r="R12" s="35"/>
      <c r="S12" s="35"/>
      <c r="T12" s="35"/>
      <c r="U12" s="35"/>
      <c r="V12" s="35"/>
      <c r="W12" s="35"/>
      <c r="X12" s="35"/>
      <c r="Y12" s="35"/>
      <c r="Z12" s="35"/>
    </row>
    <row r="13" ht="22.5" customHeight="1">
      <c r="A13" s="58"/>
      <c r="B13" s="49"/>
      <c r="C13" s="41"/>
      <c r="D13" s="59" t="s">
        <v>55</v>
      </c>
      <c r="E13" s="51">
        <f t="shared" si="1"/>
        <v>0</v>
      </c>
      <c r="F13" s="52">
        <f>IFERROR(ROUND(E13 / Totals_10[$ Subtotal], 4), 0)
</f>
        <v>0</v>
      </c>
      <c r="G13" s="51">
        <f>IFERROR(F13*(Totals_10[$ Tax Amount]+Totals_10[$ Tip Amount]), 0)
</f>
        <v>0</v>
      </c>
      <c r="H13" s="51">
        <f t="shared" si="2"/>
        <v>0</v>
      </c>
      <c r="I13" s="54" t="b">
        <v>0</v>
      </c>
      <c r="J13" s="55" t="str">
        <f t="shared" si="3"/>
        <v/>
      </c>
      <c r="K13" s="35"/>
      <c r="L13" s="35"/>
      <c r="M13" s="35"/>
      <c r="N13" s="35"/>
      <c r="O13" s="35"/>
      <c r="P13" s="35"/>
      <c r="Q13" s="35"/>
      <c r="R13" s="35"/>
      <c r="S13" s="35"/>
      <c r="T13" s="35"/>
      <c r="U13" s="35"/>
      <c r="V13" s="35"/>
      <c r="W13" s="35"/>
      <c r="X13" s="35"/>
      <c r="Y13" s="35"/>
      <c r="Z13" s="35"/>
    </row>
    <row r="14" ht="22.5" customHeight="1">
      <c r="A14" s="58"/>
      <c r="B14" s="49"/>
      <c r="C14" s="41"/>
      <c r="D14" s="59" t="s">
        <v>55</v>
      </c>
      <c r="E14" s="51">
        <f t="shared" si="1"/>
        <v>0</v>
      </c>
      <c r="F14" s="52">
        <f>IFERROR(ROUND(E14 / Totals_10[$ Subtotal], 4), 0)
</f>
        <v>0</v>
      </c>
      <c r="G14" s="51">
        <f>IFERROR(F14*(Totals_10[$ Tax Amount]+Totals_10[$ Tip Amount]), 0)
</f>
        <v>0</v>
      </c>
      <c r="H14" s="51">
        <f t="shared" si="2"/>
        <v>0</v>
      </c>
      <c r="I14" s="54" t="b">
        <v>0</v>
      </c>
      <c r="J14" s="55" t="str">
        <f t="shared" si="3"/>
        <v/>
      </c>
      <c r="K14" s="35"/>
      <c r="L14" s="35"/>
      <c r="M14" s="35"/>
      <c r="N14" s="35"/>
      <c r="O14" s="35"/>
      <c r="P14" s="35"/>
      <c r="Q14" s="35"/>
      <c r="R14" s="35"/>
      <c r="S14" s="35"/>
      <c r="T14" s="35"/>
      <c r="U14" s="35"/>
      <c r="V14" s="35"/>
      <c r="W14" s="35"/>
      <c r="X14" s="35"/>
      <c r="Y14" s="35"/>
      <c r="Z14" s="35"/>
    </row>
    <row r="15" ht="22.5" customHeight="1">
      <c r="A15" s="58"/>
      <c r="B15" s="49"/>
      <c r="C15" s="41"/>
      <c r="D15" s="59" t="s">
        <v>55</v>
      </c>
      <c r="E15" s="51">
        <f t="shared" si="1"/>
        <v>0</v>
      </c>
      <c r="F15" s="52">
        <f>IFERROR(ROUND(E15 / Totals_10[$ Subtotal], 4), 0)
</f>
        <v>0</v>
      </c>
      <c r="G15" s="51">
        <f>IFERROR(F15*(Totals_10[$ Tax Amount]+Totals_10[$ Tip Amount]), 0)
</f>
        <v>0</v>
      </c>
      <c r="H15" s="51">
        <f t="shared" si="2"/>
        <v>0</v>
      </c>
      <c r="I15" s="54" t="b">
        <v>0</v>
      </c>
      <c r="J15" s="55" t="str">
        <f t="shared" si="3"/>
        <v/>
      </c>
      <c r="K15" s="35"/>
      <c r="L15" s="35"/>
      <c r="M15" s="35"/>
      <c r="N15" s="35"/>
      <c r="O15" s="35"/>
      <c r="P15" s="35"/>
      <c r="Q15" s="35"/>
      <c r="R15" s="35"/>
      <c r="S15" s="35"/>
      <c r="T15" s="35"/>
      <c r="U15" s="35"/>
      <c r="V15" s="35"/>
      <c r="W15" s="35"/>
      <c r="X15" s="35"/>
      <c r="Y15" s="35"/>
      <c r="Z15" s="35"/>
    </row>
    <row r="16" ht="22.5" customHeight="1">
      <c r="A16" s="48"/>
      <c r="B16" s="49"/>
      <c r="C16" s="41"/>
      <c r="D16" s="59" t="s">
        <v>55</v>
      </c>
      <c r="E16" s="51">
        <f t="shared" si="1"/>
        <v>0</v>
      </c>
      <c r="F16" s="52">
        <f>IFERROR(ROUND(E16 / Totals_10[$ Subtotal], 4), 0)
</f>
        <v>0</v>
      </c>
      <c r="G16" s="51">
        <f>IFERROR(F16*(Totals_10[$ Tax Amount]+Totals_10[$ Tip Amount]), 0)
</f>
        <v>0</v>
      </c>
      <c r="H16" s="51">
        <f t="shared" si="2"/>
        <v>0</v>
      </c>
      <c r="I16" s="54" t="b">
        <v>0</v>
      </c>
      <c r="J16" s="55" t="str">
        <f t="shared" si="3"/>
        <v/>
      </c>
      <c r="K16" s="35"/>
      <c r="L16" s="35"/>
      <c r="M16" s="35"/>
      <c r="N16" s="35"/>
      <c r="O16" s="35"/>
      <c r="P16" s="35"/>
      <c r="Q16" s="35"/>
      <c r="R16" s="35"/>
      <c r="S16" s="35"/>
      <c r="T16" s="35"/>
      <c r="U16" s="35"/>
      <c r="V16" s="35"/>
      <c r="W16" s="35"/>
      <c r="X16" s="35"/>
      <c r="Y16" s="35"/>
      <c r="Z16" s="35"/>
    </row>
    <row r="17" ht="22.5" customHeight="1">
      <c r="A17" s="48"/>
      <c r="B17" s="56"/>
      <c r="C17" s="41"/>
      <c r="D17" s="59" t="s">
        <v>55</v>
      </c>
      <c r="E17" s="51">
        <f t="shared" si="1"/>
        <v>0</v>
      </c>
      <c r="F17" s="52">
        <f>IFERROR(ROUND(E17 / Totals_10[$ Subtotal], 4), 0)
</f>
        <v>0</v>
      </c>
      <c r="G17" s="51">
        <f>IFERROR(F17*(Totals_10[$ Tax Amount]+Totals_10[$ Tip Amount]), 0)
</f>
        <v>0</v>
      </c>
      <c r="H17" s="51">
        <f t="shared" si="2"/>
        <v>0</v>
      </c>
      <c r="I17" s="54" t="b">
        <v>0</v>
      </c>
      <c r="J17" s="55" t="str">
        <f t="shared" si="3"/>
        <v/>
      </c>
      <c r="K17" s="35"/>
      <c r="L17" s="35"/>
      <c r="M17" s="35"/>
      <c r="N17" s="35"/>
      <c r="O17" s="35"/>
      <c r="P17" s="35"/>
      <c r="Q17" s="35"/>
      <c r="R17" s="35"/>
      <c r="S17" s="35"/>
      <c r="T17" s="35"/>
      <c r="U17" s="35"/>
      <c r="V17" s="35"/>
      <c r="W17" s="35"/>
      <c r="X17" s="35"/>
      <c r="Y17" s="35"/>
      <c r="Z17" s="35"/>
    </row>
    <row r="18" ht="22.5" customHeight="1">
      <c r="A18" s="48"/>
      <c r="B18" s="49"/>
      <c r="C18" s="41"/>
      <c r="D18" s="59" t="s">
        <v>55</v>
      </c>
      <c r="E18" s="51">
        <f t="shared" si="1"/>
        <v>0</v>
      </c>
      <c r="F18" s="52">
        <f>IFERROR(ROUND(E18 / Totals_10[$ Subtotal], 4), 0)
</f>
        <v>0</v>
      </c>
      <c r="G18" s="51">
        <f>IFERROR(F18*(Totals_10[$ Tax Amount]+Totals_10[$ Tip Amount]), 0)
</f>
        <v>0</v>
      </c>
      <c r="H18" s="51">
        <f t="shared" si="2"/>
        <v>0</v>
      </c>
      <c r="I18" s="54" t="b">
        <v>0</v>
      </c>
      <c r="J18" s="55" t="str">
        <f t="shared" si="3"/>
        <v/>
      </c>
      <c r="K18" s="35"/>
      <c r="L18" s="35"/>
      <c r="M18" s="35"/>
      <c r="N18" s="35"/>
      <c r="O18" s="35"/>
      <c r="P18" s="35"/>
      <c r="Q18" s="35"/>
      <c r="R18" s="35"/>
      <c r="S18" s="35"/>
      <c r="T18" s="35"/>
      <c r="U18" s="35"/>
      <c r="V18" s="35"/>
      <c r="W18" s="35"/>
      <c r="X18" s="35"/>
      <c r="Y18" s="35"/>
      <c r="Z18" s="35"/>
    </row>
    <row r="19" ht="22.5" customHeight="1">
      <c r="A19" s="48"/>
      <c r="B19" s="49"/>
      <c r="C19" s="41"/>
      <c r="D19" s="59" t="s">
        <v>55</v>
      </c>
      <c r="E19" s="51">
        <f t="shared" si="1"/>
        <v>0</v>
      </c>
      <c r="F19" s="52">
        <f>IFERROR(ROUND(E19 / Totals_10[$ Subtotal], 4), 0)
</f>
        <v>0</v>
      </c>
      <c r="G19" s="51">
        <f>IFERROR(F19*(Totals_10[$ Tax Amount]+Totals_10[$ Tip Amount]), 0)
</f>
        <v>0</v>
      </c>
      <c r="H19" s="51">
        <f t="shared" si="2"/>
        <v>0</v>
      </c>
      <c r="I19" s="54" t="b">
        <v>0</v>
      </c>
      <c r="J19" s="55" t="str">
        <f t="shared" si="3"/>
        <v/>
      </c>
      <c r="K19" s="35"/>
      <c r="L19" s="35"/>
      <c r="M19" s="35"/>
      <c r="N19" s="35"/>
      <c r="O19" s="35"/>
      <c r="P19" s="35"/>
      <c r="Q19" s="35"/>
      <c r="R19" s="35"/>
      <c r="S19" s="35"/>
      <c r="T19" s="35"/>
      <c r="U19" s="35"/>
      <c r="V19" s="35"/>
      <c r="W19" s="35"/>
      <c r="X19" s="35"/>
      <c r="Y19" s="35"/>
      <c r="Z19" s="35"/>
    </row>
    <row r="20" ht="22.5" customHeight="1">
      <c r="A20" s="48"/>
      <c r="B20" s="49"/>
      <c r="C20" s="41"/>
      <c r="D20" s="59" t="s">
        <v>55</v>
      </c>
      <c r="E20" s="51">
        <f t="shared" si="1"/>
        <v>0</v>
      </c>
      <c r="F20" s="52">
        <f>IFERROR(ROUND(E20 / Totals_10[$ Subtotal], 4), 0)
</f>
        <v>0</v>
      </c>
      <c r="G20" s="51">
        <f>IFERROR(F20*(Totals_10[$ Tax Amount]+Totals_10[$ Tip Amount]), 0)
</f>
        <v>0</v>
      </c>
      <c r="H20" s="51">
        <f t="shared" si="2"/>
        <v>0</v>
      </c>
      <c r="I20" s="54" t="b">
        <v>0</v>
      </c>
      <c r="J20" s="55" t="str">
        <f t="shared" si="3"/>
        <v/>
      </c>
      <c r="K20" s="35"/>
      <c r="L20" s="35"/>
      <c r="M20" s="35"/>
      <c r="N20" s="35"/>
      <c r="O20" s="35"/>
      <c r="P20" s="35"/>
      <c r="Q20" s="35"/>
      <c r="R20" s="35"/>
      <c r="S20" s="35"/>
      <c r="T20" s="35"/>
      <c r="U20" s="35"/>
      <c r="V20" s="35"/>
      <c r="W20" s="35"/>
      <c r="X20" s="35"/>
      <c r="Y20" s="35"/>
      <c r="Z20" s="35"/>
    </row>
    <row r="21" ht="22.5" customHeight="1">
      <c r="A21" s="48"/>
      <c r="B21" s="49"/>
      <c r="C21" s="41"/>
      <c r="D21" s="59" t="s">
        <v>55</v>
      </c>
      <c r="E21" s="51">
        <f t="shared" si="1"/>
        <v>0</v>
      </c>
      <c r="F21" s="52">
        <f>IFERROR(ROUND(E21 / Totals_10[$ Subtotal], 4), 0)
</f>
        <v>0</v>
      </c>
      <c r="G21" s="51">
        <f>IFERROR(F21*(Totals_10[$ Tax Amount]+Totals_10[$ Tip Amount]), 0)
</f>
        <v>0</v>
      </c>
      <c r="H21" s="51">
        <f t="shared" si="2"/>
        <v>0</v>
      </c>
      <c r="I21" s="54" t="b">
        <v>0</v>
      </c>
      <c r="J21" s="55" t="str">
        <f t="shared" si="3"/>
        <v/>
      </c>
      <c r="K21" s="35"/>
      <c r="L21" s="35"/>
      <c r="M21" s="35"/>
      <c r="N21" s="35"/>
      <c r="O21" s="35"/>
      <c r="P21" s="35"/>
      <c r="Q21" s="35"/>
      <c r="R21" s="35"/>
      <c r="S21" s="35"/>
      <c r="T21" s="35"/>
      <c r="U21" s="35"/>
      <c r="V21" s="35"/>
      <c r="W21" s="35"/>
      <c r="X21" s="35"/>
      <c r="Y21" s="35"/>
      <c r="Z21" s="35"/>
    </row>
    <row r="22" ht="22.5" customHeight="1">
      <c r="A22" s="48"/>
      <c r="B22" s="49"/>
      <c r="C22" s="41"/>
      <c r="D22" s="59" t="s">
        <v>55</v>
      </c>
      <c r="E22" s="51">
        <f t="shared" si="1"/>
        <v>0</v>
      </c>
      <c r="F22" s="52">
        <f>IFERROR(ROUND(E22 / Totals_10[$ Subtotal], 4), 0)
</f>
        <v>0</v>
      </c>
      <c r="G22" s="51">
        <f>IFERROR(F22*(Totals_10[$ Tax Amount]+Totals_10[$ Tip Amount]), 0)
</f>
        <v>0</v>
      </c>
      <c r="H22" s="51">
        <f t="shared" si="2"/>
        <v>0</v>
      </c>
      <c r="I22" s="54" t="b">
        <v>0</v>
      </c>
      <c r="J22" s="55" t="str">
        <f t="shared" si="3"/>
        <v/>
      </c>
      <c r="K22" s="35"/>
      <c r="L22" s="35"/>
      <c r="M22" s="35"/>
      <c r="N22" s="35"/>
      <c r="O22" s="35"/>
      <c r="P22" s="35"/>
      <c r="Q22" s="35"/>
      <c r="R22" s="35"/>
      <c r="S22" s="35"/>
      <c r="T22" s="35"/>
      <c r="U22" s="35"/>
      <c r="V22" s="35"/>
      <c r="W22" s="35"/>
      <c r="X22" s="35"/>
      <c r="Y22" s="35"/>
      <c r="Z22" s="35"/>
    </row>
    <row r="23" ht="22.5" customHeight="1">
      <c r="A23" s="48"/>
      <c r="B23" s="56"/>
      <c r="C23" s="41"/>
      <c r="D23" s="59" t="s">
        <v>55</v>
      </c>
      <c r="E23" s="51">
        <f t="shared" si="1"/>
        <v>0</v>
      </c>
      <c r="F23" s="52">
        <f>IFERROR(ROUND(E23 / Totals_10[$ Subtotal], 4), 0)
</f>
        <v>0</v>
      </c>
      <c r="G23" s="51">
        <f>IFERROR(F23*(Totals_10[$ Tax Amount]+Totals_10[$ Tip Amount]), 0)
</f>
        <v>0</v>
      </c>
      <c r="H23" s="51">
        <f t="shared" si="2"/>
        <v>0</v>
      </c>
      <c r="I23" s="54" t="b">
        <v>0</v>
      </c>
      <c r="J23" s="55" t="str">
        <f t="shared" si="3"/>
        <v/>
      </c>
      <c r="K23" s="35"/>
      <c r="L23" s="35"/>
      <c r="M23" s="35"/>
      <c r="N23" s="35"/>
      <c r="O23" s="35"/>
      <c r="P23" s="35"/>
      <c r="Q23" s="35"/>
      <c r="R23" s="35"/>
      <c r="S23" s="35"/>
      <c r="T23" s="35"/>
      <c r="U23" s="35"/>
      <c r="V23" s="35"/>
      <c r="W23" s="35"/>
      <c r="X23" s="35"/>
      <c r="Y23" s="35"/>
      <c r="Z23" s="35"/>
    </row>
    <row r="24" ht="22.5" customHeight="1">
      <c r="A24" s="58"/>
      <c r="B24" s="56"/>
      <c r="C24" s="57"/>
      <c r="D24" s="59" t="s">
        <v>55</v>
      </c>
      <c r="E24" s="51">
        <f t="shared" si="1"/>
        <v>0</v>
      </c>
      <c r="F24" s="52">
        <f>IFERROR(ROUND(E24 / Totals_10[$ Subtotal], 4), 0)
</f>
        <v>0</v>
      </c>
      <c r="G24" s="51">
        <f>IFERROR(F24*(Totals_10[$ Tax Amount]+Totals_10[$ Tip Amount]), 0)
</f>
        <v>0</v>
      </c>
      <c r="H24" s="51">
        <f t="shared" si="2"/>
        <v>0</v>
      </c>
      <c r="I24" s="54" t="b">
        <v>0</v>
      </c>
      <c r="J24" s="55" t="str">
        <f t="shared" si="3"/>
        <v/>
      </c>
      <c r="K24" s="35"/>
      <c r="L24" s="35"/>
      <c r="M24" s="35"/>
      <c r="N24" s="35"/>
      <c r="O24" s="35"/>
      <c r="P24" s="35"/>
      <c r="Q24" s="35"/>
      <c r="R24" s="35"/>
      <c r="S24" s="35"/>
      <c r="T24" s="35"/>
      <c r="U24" s="35"/>
      <c r="V24" s="35"/>
      <c r="W24" s="35"/>
      <c r="X24" s="35"/>
      <c r="Y24" s="35"/>
      <c r="Z24" s="35"/>
    </row>
    <row r="25" ht="22.5" customHeight="1">
      <c r="A25" s="58"/>
      <c r="B25" s="56"/>
      <c r="C25" s="57"/>
      <c r="D25" s="59" t="s">
        <v>55</v>
      </c>
      <c r="E25" s="51">
        <f t="shared" si="1"/>
        <v>0</v>
      </c>
      <c r="F25" s="52">
        <f>IFERROR(ROUND(E25 / Totals_10[$ Subtotal], 4), 0)
</f>
        <v>0</v>
      </c>
      <c r="G25" s="51">
        <f>IFERROR(F25*(Totals_10[$ Tax Amount]+Totals_10[$ Tip Amount]), 0)
</f>
        <v>0</v>
      </c>
      <c r="H25" s="51">
        <f t="shared" si="2"/>
        <v>0</v>
      </c>
      <c r="I25" s="54" t="b">
        <v>0</v>
      </c>
      <c r="J25" s="55" t="str">
        <f t="shared" si="3"/>
        <v/>
      </c>
      <c r="K25" s="35"/>
      <c r="L25" s="35"/>
      <c r="M25" s="35"/>
      <c r="N25" s="35"/>
      <c r="O25" s="35"/>
      <c r="P25" s="35"/>
      <c r="Q25" s="35"/>
      <c r="R25" s="35"/>
      <c r="S25" s="35"/>
      <c r="T25" s="35"/>
      <c r="U25" s="35"/>
      <c r="V25" s="35"/>
      <c r="W25" s="35"/>
      <c r="X25" s="35"/>
      <c r="Y25" s="35"/>
      <c r="Z25" s="35"/>
    </row>
    <row r="26" ht="22.5" customHeight="1">
      <c r="A26" s="58"/>
      <c r="B26" s="56"/>
      <c r="C26" s="57"/>
      <c r="D26" s="59" t="s">
        <v>55</v>
      </c>
      <c r="E26" s="51">
        <f t="shared" si="1"/>
        <v>0</v>
      </c>
      <c r="F26" s="52">
        <f>IFERROR(ROUND(E26 / Totals_10[$ Subtotal], 4), 0)
</f>
        <v>0</v>
      </c>
      <c r="G26" s="51">
        <f>IFERROR(F26*(Totals_10[$ Tax Amount]+Totals_10[$ Tip Amount]), 0)
</f>
        <v>0</v>
      </c>
      <c r="H26" s="51">
        <f t="shared" si="2"/>
        <v>0</v>
      </c>
      <c r="I26" s="54" t="b">
        <v>0</v>
      </c>
      <c r="J26" s="55" t="str">
        <f t="shared" si="3"/>
        <v/>
      </c>
      <c r="K26" s="35"/>
      <c r="L26" s="35"/>
      <c r="M26" s="35"/>
      <c r="N26" s="35"/>
      <c r="O26" s="35"/>
      <c r="P26" s="35"/>
      <c r="Q26" s="35"/>
      <c r="R26" s="35"/>
      <c r="S26" s="35"/>
      <c r="T26" s="35"/>
      <c r="U26" s="35"/>
      <c r="V26" s="35"/>
      <c r="W26" s="35"/>
      <c r="X26" s="35"/>
      <c r="Y26" s="35"/>
      <c r="Z26" s="35"/>
    </row>
    <row r="27" ht="22.5" customHeight="1">
      <c r="A27" s="58"/>
      <c r="B27" s="56"/>
      <c r="C27" s="57"/>
      <c r="D27" s="59" t="s">
        <v>55</v>
      </c>
      <c r="E27" s="51">
        <f t="shared" si="1"/>
        <v>0</v>
      </c>
      <c r="F27" s="52">
        <f>IFERROR(ROUND(E27 / Totals_10[$ Subtotal], 4), 0)
</f>
        <v>0</v>
      </c>
      <c r="G27" s="51">
        <f>IFERROR(F27*(Totals_10[$ Tax Amount]+Totals_10[$ Tip Amount]), 0)
</f>
        <v>0</v>
      </c>
      <c r="H27" s="51">
        <f t="shared" si="2"/>
        <v>0</v>
      </c>
      <c r="I27" s="54" t="b">
        <v>0</v>
      </c>
      <c r="J27" s="55" t="str">
        <f t="shared" si="3"/>
        <v/>
      </c>
      <c r="K27" s="35"/>
      <c r="L27" s="35"/>
      <c r="M27" s="35"/>
      <c r="N27" s="35"/>
      <c r="O27" s="35"/>
      <c r="P27" s="35"/>
      <c r="Q27" s="35"/>
      <c r="R27" s="35"/>
      <c r="S27" s="35"/>
      <c r="T27" s="35"/>
      <c r="U27" s="35"/>
      <c r="V27" s="35"/>
      <c r="W27" s="35"/>
      <c r="X27" s="35"/>
      <c r="Y27" s="35"/>
      <c r="Z27" s="35"/>
    </row>
  </sheetData>
  <conditionalFormatting sqref="D8:D27">
    <cfRule type="colorScale" priority="1">
      <colorScale>
        <cfvo type="min"/>
        <cfvo type="max"/>
        <color rgb="FFFFFFFF"/>
        <color rgb="FF57BB8A"/>
      </colorScale>
    </cfRule>
  </conditionalFormatting>
  <conditionalFormatting sqref="J8:J27">
    <cfRule type="expression" dxfId="7" priority="2">
      <formula>AND(I8=FALSE,E8&lt;&gt;0)</formula>
    </cfRule>
  </conditionalFormatting>
  <dataValidations>
    <dataValidation type="decimal" allowBlank="1" showDropDown="1" showInputMessage="1" prompt="Enter a tip percentage between 0 and 100" sqref="B1">
      <formula1>0.0</formula1>
      <formula2>100.0</formula2>
    </dataValidation>
    <dataValidation type="custom" allowBlank="1" showDropDown="1" sqref="B4:E4 C8:C27 E8:G27">
      <formula1>AND(ISNUMBER(B4),(NOT(OR(NOT(ISERROR(DATEVALUE(B4))), AND(ISNUMBER(B4), LEFT(CELL("format", B4))="D")))))</formula1>
    </dataValidation>
    <dataValidation type="list" allowBlank="1" sqref="D8:D27">
      <formula1>"N/A,Solo,Appetizer,Treated"</formula1>
    </dataValidation>
    <dataValidation allowBlank="1" showDropDown="1" sqref="B8:B27"/>
  </dataValidation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4.5"/>
    <col customWidth="1" min="2" max="2" width="13.88"/>
    <col customWidth="1" min="3" max="3" width="12.25"/>
    <col customWidth="1" min="4" max="4" width="14.25"/>
    <col customWidth="1" min="5" max="5" width="12.5"/>
    <col customWidth="1" min="6" max="6" width="14.75"/>
    <col customWidth="1" min="7" max="7" width="12.13"/>
    <col customWidth="1" min="8" max="8" width="10.13"/>
    <col customWidth="1" min="9" max="9" width="11.0"/>
    <col customWidth="1" min="10" max="10" width="22.25"/>
    <col customWidth="1" min="11" max="11" width="15.88"/>
  </cols>
  <sheetData>
    <row r="1" ht="57.0" customHeight="1">
      <c r="A1" s="33" t="s">
        <v>56</v>
      </c>
      <c r="B1" s="34"/>
      <c r="C1" s="35"/>
      <c r="D1" s="35"/>
      <c r="E1" s="35"/>
      <c r="F1" s="35"/>
      <c r="G1" s="35"/>
      <c r="H1" s="35"/>
      <c r="I1" s="35"/>
      <c r="J1" s="35"/>
      <c r="K1" s="35"/>
      <c r="L1" s="35"/>
      <c r="M1" s="35"/>
      <c r="N1" s="35"/>
      <c r="O1" s="35"/>
      <c r="P1" s="35"/>
      <c r="Q1" s="35"/>
      <c r="R1" s="35"/>
      <c r="S1" s="35"/>
      <c r="T1" s="35"/>
      <c r="U1" s="35"/>
      <c r="V1" s="35"/>
      <c r="W1" s="35"/>
      <c r="X1" s="35"/>
      <c r="Y1" s="35"/>
      <c r="Z1" s="35"/>
      <c r="AA1" s="35"/>
    </row>
    <row r="2" outlineLevel="1">
      <c r="A2" s="36" t="s">
        <v>29</v>
      </c>
      <c r="B2" s="37"/>
      <c r="C2" s="37"/>
      <c r="D2" s="37"/>
      <c r="E2" s="37"/>
      <c r="F2" s="35"/>
      <c r="G2" s="35"/>
      <c r="H2" s="35"/>
      <c r="I2" s="35"/>
      <c r="J2" s="35"/>
      <c r="K2" s="35"/>
      <c r="L2" s="35"/>
      <c r="M2" s="35"/>
      <c r="N2" s="35"/>
      <c r="O2" s="35"/>
      <c r="P2" s="35"/>
      <c r="Q2" s="35"/>
      <c r="R2" s="35"/>
      <c r="S2" s="35"/>
      <c r="T2" s="35"/>
      <c r="U2" s="35"/>
      <c r="V2" s="35"/>
      <c r="W2" s="35"/>
      <c r="X2" s="35"/>
      <c r="Y2" s="35"/>
      <c r="Z2" s="35"/>
      <c r="AA2" s="35"/>
    </row>
    <row r="3" ht="22.5" customHeight="1" outlineLevel="1">
      <c r="A3" s="38" t="s">
        <v>30</v>
      </c>
      <c r="B3" s="39" t="s">
        <v>31</v>
      </c>
      <c r="C3" s="39" t="s">
        <v>32</v>
      </c>
      <c r="D3" s="40" t="s">
        <v>33</v>
      </c>
      <c r="E3" s="39" t="s">
        <v>34</v>
      </c>
      <c r="F3" s="35"/>
      <c r="G3" s="35"/>
      <c r="H3" s="35"/>
      <c r="I3" s="35"/>
      <c r="J3" s="35"/>
      <c r="K3" s="35"/>
      <c r="L3" s="35"/>
      <c r="M3" s="35"/>
      <c r="N3" s="35"/>
      <c r="O3" s="35"/>
      <c r="P3" s="35"/>
      <c r="Q3" s="35"/>
      <c r="R3" s="35"/>
      <c r="S3" s="35"/>
      <c r="T3" s="35"/>
      <c r="U3" s="35"/>
      <c r="V3" s="35"/>
      <c r="W3" s="35"/>
      <c r="X3" s="35"/>
      <c r="Y3" s="35"/>
      <c r="Z3" s="35"/>
      <c r="AA3" s="35"/>
    </row>
    <row r="4" ht="22.5" customHeight="1" outlineLevel="1">
      <c r="A4" s="36" t="s">
        <v>35</v>
      </c>
      <c r="B4" s="41">
        <v>4.0</v>
      </c>
      <c r="C4" s="41">
        <v>7.5</v>
      </c>
      <c r="D4" s="42">
        <f>SUM(Food_Ordered_9[$ Dish Price])</f>
        <v>49.99</v>
      </c>
      <c r="E4" s="43">
        <f>ROUND(SUM(H:H),4)</f>
        <v>61.4889</v>
      </c>
      <c r="F4" s="35"/>
      <c r="G4" s="35"/>
      <c r="H4" s="35"/>
      <c r="I4" s="35"/>
      <c r="J4" s="35"/>
      <c r="K4" s="35"/>
      <c r="L4" s="35"/>
      <c r="M4" s="35"/>
      <c r="N4" s="35"/>
      <c r="O4" s="35"/>
      <c r="P4" s="35"/>
      <c r="Q4" s="35"/>
      <c r="R4" s="35"/>
      <c r="S4" s="35"/>
      <c r="T4" s="35"/>
      <c r="U4" s="35"/>
      <c r="V4" s="35"/>
      <c r="W4" s="35"/>
      <c r="X4" s="35"/>
      <c r="Y4" s="35"/>
      <c r="Z4" s="35"/>
      <c r="AA4" s="35"/>
    </row>
    <row r="5" ht="22.5" customHeight="1">
      <c r="A5" s="36" t="s">
        <v>36</v>
      </c>
      <c r="B5" s="44" t="str">
        <f>IFERROR("("&amp;TEXT(SUM(Totals_9[$ Tax Amount]/Totals_9[$ Subtotal]),"#,##0.00%")&amp;")",0)</f>
        <v>(8.00%)</v>
      </c>
      <c r="C5" s="44" t="str">
        <f>IFERROR("("&amp;TEXT(SUM(Totals_9[$ Tip Amount]/Totals_9[$ Subtotal]),"#,##0.00%")&amp;")",0)</f>
        <v>(15.00%)</v>
      </c>
      <c r="D5" s="45"/>
      <c r="E5" s="45"/>
      <c r="F5" s="35"/>
      <c r="G5" s="35"/>
      <c r="H5" s="35"/>
      <c r="I5" s="35"/>
      <c r="J5" s="35"/>
      <c r="K5" s="35"/>
      <c r="L5" s="35"/>
      <c r="M5" s="35"/>
      <c r="N5" s="35"/>
      <c r="O5" s="35"/>
      <c r="P5" s="35"/>
      <c r="Q5" s="35"/>
      <c r="R5" s="35"/>
      <c r="S5" s="35"/>
      <c r="T5" s="35"/>
      <c r="U5" s="35"/>
      <c r="V5" s="35"/>
      <c r="W5" s="35"/>
      <c r="X5" s="35"/>
      <c r="Y5" s="35"/>
      <c r="Z5" s="35"/>
      <c r="AA5" s="35"/>
    </row>
    <row r="6">
      <c r="A6" s="35"/>
      <c r="B6" s="35"/>
      <c r="C6" s="35"/>
      <c r="D6" s="35"/>
      <c r="E6" s="35"/>
      <c r="F6" s="35"/>
      <c r="G6" s="36"/>
      <c r="H6" s="35"/>
      <c r="I6" s="35"/>
      <c r="J6" s="35"/>
      <c r="K6" s="35"/>
      <c r="L6" s="35"/>
      <c r="M6" s="35"/>
      <c r="N6" s="35"/>
      <c r="O6" s="35"/>
      <c r="P6" s="35"/>
      <c r="Q6" s="35"/>
      <c r="R6" s="35"/>
      <c r="S6" s="35"/>
      <c r="T6" s="35"/>
      <c r="U6" s="35"/>
      <c r="V6" s="35"/>
      <c r="W6" s="35"/>
      <c r="X6" s="35"/>
      <c r="Y6" s="35"/>
      <c r="Z6" s="35"/>
      <c r="AA6" s="35"/>
    </row>
    <row r="7" ht="22.5" customHeight="1">
      <c r="A7" s="46" t="s">
        <v>37</v>
      </c>
      <c r="B7" s="46" t="s">
        <v>38</v>
      </c>
      <c r="C7" s="46" t="s">
        <v>39</v>
      </c>
      <c r="D7" s="46" t="s">
        <v>40</v>
      </c>
      <c r="E7" s="46" t="s">
        <v>12</v>
      </c>
      <c r="F7" s="47" t="s">
        <v>14</v>
      </c>
      <c r="G7" s="39" t="s">
        <v>16</v>
      </c>
      <c r="H7" s="39" t="s">
        <v>18</v>
      </c>
      <c r="I7" s="39" t="s">
        <v>41</v>
      </c>
      <c r="J7" s="39" t="s">
        <v>20</v>
      </c>
      <c r="K7" s="35"/>
      <c r="L7" s="35"/>
      <c r="M7" s="35"/>
      <c r="N7" s="35"/>
      <c r="O7" s="35"/>
      <c r="P7" s="35"/>
      <c r="Q7" s="35"/>
      <c r="R7" s="35"/>
      <c r="S7" s="35"/>
      <c r="T7" s="35"/>
      <c r="U7" s="35"/>
      <c r="V7" s="35"/>
      <c r="W7" s="35"/>
      <c r="X7" s="35"/>
      <c r="Y7" s="35"/>
      <c r="Z7" s="35"/>
    </row>
    <row r="8" ht="22.5" customHeight="1">
      <c r="A8" s="48" t="s">
        <v>73</v>
      </c>
      <c r="B8" s="49" t="s">
        <v>74</v>
      </c>
      <c r="C8" s="41">
        <v>10.5</v>
      </c>
      <c r="D8" s="59" t="s">
        <v>44</v>
      </c>
      <c r="E8" s="51">
        <f t="shared" ref="E8:E27" si="1">IF(OR(D8="Appetizer", D8="Treated",D8="N/A"), 0, SUMIF(A$8:A27, A8, C$8:C27) + (SUMIF(D$8:D27, "Appetizer", C$8:C27) + SUMIF(D$8:D27, "Treated", C$8:C27)) / COUNTIF(D$8:D27, "Solo"))
</f>
        <v>10.5</v>
      </c>
      <c r="F8" s="52">
        <f>IFERROR(ROUND(E8 / Totals_9[$ Subtotal], 4), 0)
</f>
        <v>0.21</v>
      </c>
      <c r="G8" s="53">
        <f>IFERROR(F8*(Totals_9[$ Tax Amount]+Totals_9[$ Tip Amount]), 0)
</f>
        <v>2.415</v>
      </c>
      <c r="H8" s="51">
        <f t="shared" ref="H8:H27" si="2">E8+G8</f>
        <v>12.915</v>
      </c>
      <c r="I8" s="54" t="b">
        <v>0</v>
      </c>
      <c r="J8" s="55" t="str">
        <f t="shared" ref="J8:J27" si="3">IF(E8=0,"",A8 &amp; " ($" &amp; TEXT(H8, "#,##0.00") &amp; ") " &amp; IF(I8=TRUE, "✅", "❌"))</f>
        <v>sunny  ($12.92) ❌</v>
      </c>
      <c r="K8" s="35"/>
      <c r="L8" s="35"/>
      <c r="M8" s="35"/>
      <c r="N8" s="35"/>
      <c r="O8" s="35"/>
      <c r="P8" s="35"/>
      <c r="Q8" s="35"/>
      <c r="R8" s="35"/>
      <c r="S8" s="35"/>
      <c r="T8" s="35"/>
      <c r="U8" s="35"/>
      <c r="V8" s="35"/>
      <c r="W8" s="35"/>
      <c r="X8" s="35"/>
      <c r="Y8" s="35"/>
      <c r="Z8" s="35"/>
    </row>
    <row r="9" ht="22.5" customHeight="1">
      <c r="A9" s="48" t="s">
        <v>75</v>
      </c>
      <c r="B9" s="49" t="s">
        <v>76</v>
      </c>
      <c r="C9" s="41">
        <v>7.0</v>
      </c>
      <c r="D9" s="59" t="s">
        <v>44</v>
      </c>
      <c r="E9" s="51">
        <f t="shared" si="1"/>
        <v>7</v>
      </c>
      <c r="F9" s="52">
        <f>IFERROR(ROUND(E9 / Totals_9[$ Subtotal], 4), 0)
</f>
        <v>0.14</v>
      </c>
      <c r="G9" s="51">
        <f>IFERROR(F9*(Totals_9[$ Tax Amount]+Totals_9[$ Tip Amount]), 0)
</f>
        <v>1.61</v>
      </c>
      <c r="H9" s="51">
        <f t="shared" si="2"/>
        <v>8.61</v>
      </c>
      <c r="I9" s="54" t="b">
        <v>0</v>
      </c>
      <c r="J9" s="55" t="str">
        <f t="shared" si="3"/>
        <v>emelia ($8.61) ❌</v>
      </c>
      <c r="K9" s="35"/>
      <c r="L9" s="35"/>
      <c r="M9" s="35"/>
      <c r="N9" s="35"/>
      <c r="O9" s="35"/>
      <c r="P9" s="35"/>
      <c r="Q9" s="35"/>
      <c r="R9" s="35"/>
      <c r="S9" s="35"/>
      <c r="T9" s="35"/>
      <c r="U9" s="35"/>
      <c r="V9" s="35"/>
      <c r="W9" s="35"/>
      <c r="X9" s="35"/>
      <c r="Y9" s="35"/>
      <c r="Z9" s="35"/>
    </row>
    <row r="10" ht="22.5" customHeight="1">
      <c r="A10" s="48" t="s">
        <v>77</v>
      </c>
      <c r="B10" s="49" t="s">
        <v>78</v>
      </c>
      <c r="C10" s="41">
        <v>21.99</v>
      </c>
      <c r="D10" s="59" t="s">
        <v>44</v>
      </c>
      <c r="E10" s="51">
        <f t="shared" si="1"/>
        <v>21.99</v>
      </c>
      <c r="F10" s="52">
        <f>IFERROR(ROUND(E10 / Totals_9[$ Subtotal], 4), 0)
</f>
        <v>0.4399</v>
      </c>
      <c r="G10" s="53">
        <f>IFERROR(F10*(Totals_9[$ Tax Amount]+Totals_9[$ Tip Amount]), 0)
</f>
        <v>5.05885</v>
      </c>
      <c r="H10" s="51">
        <f t="shared" si="2"/>
        <v>27.04885</v>
      </c>
      <c r="I10" s="54" t="b">
        <v>0</v>
      </c>
      <c r="J10" s="55" t="str">
        <f t="shared" si="3"/>
        <v>shannon ($27.05) ❌</v>
      </c>
      <c r="K10" s="35"/>
      <c r="L10" s="35"/>
      <c r="M10" s="35"/>
      <c r="N10" s="35"/>
      <c r="O10" s="35"/>
      <c r="P10" s="35"/>
      <c r="Q10" s="35"/>
      <c r="R10" s="35"/>
      <c r="S10" s="35"/>
      <c r="T10" s="35"/>
      <c r="U10" s="35"/>
      <c r="V10" s="35"/>
      <c r="W10" s="35"/>
      <c r="X10" s="35"/>
      <c r="Y10" s="35"/>
      <c r="Z10" s="35"/>
    </row>
    <row r="11" ht="22.5" customHeight="1">
      <c r="A11" s="48" t="s">
        <v>79</v>
      </c>
      <c r="B11" s="49" t="s">
        <v>74</v>
      </c>
      <c r="C11" s="41">
        <v>10.5</v>
      </c>
      <c r="D11" s="59" t="s">
        <v>44</v>
      </c>
      <c r="E11" s="51">
        <f t="shared" si="1"/>
        <v>10.5</v>
      </c>
      <c r="F11" s="52">
        <f>IFERROR(ROUND(E11 / Totals_9[$ Subtotal], 4), 0)
</f>
        <v>0.21</v>
      </c>
      <c r="G11" s="51">
        <f>IFERROR(F11*(Totals_9[$ Tax Amount]+Totals_9[$ Tip Amount]), 0)
</f>
        <v>2.415</v>
      </c>
      <c r="H11" s="51">
        <f t="shared" si="2"/>
        <v>12.915</v>
      </c>
      <c r="I11" s="54" t="b">
        <v>0</v>
      </c>
      <c r="J11" s="55" t="str">
        <f t="shared" si="3"/>
        <v>mystery ($12.92) ❌</v>
      </c>
      <c r="K11" s="35"/>
      <c r="L11" s="35"/>
      <c r="M11" s="35"/>
      <c r="N11" s="35"/>
      <c r="O11" s="35"/>
      <c r="P11" s="35"/>
      <c r="Q11" s="35"/>
      <c r="R11" s="35"/>
      <c r="S11" s="35"/>
      <c r="T11" s="35"/>
      <c r="U11" s="35"/>
      <c r="V11" s="35"/>
      <c r="W11" s="35"/>
      <c r="X11" s="35"/>
      <c r="Y11" s="35"/>
      <c r="Z11" s="35"/>
    </row>
    <row r="12" ht="22.5" customHeight="1">
      <c r="A12" s="48"/>
      <c r="B12" s="49"/>
      <c r="C12" s="41"/>
      <c r="D12" s="59" t="s">
        <v>55</v>
      </c>
      <c r="E12" s="51">
        <f t="shared" si="1"/>
        <v>0</v>
      </c>
      <c r="F12" s="52">
        <f>IFERROR(ROUND(E12 / Totals_9[$ Subtotal], 4), 0)
</f>
        <v>0</v>
      </c>
      <c r="G12" s="51">
        <f>IFERROR(F12*(Totals_9[$ Tax Amount]+Totals_9[$ Tip Amount]), 0)
</f>
        <v>0</v>
      </c>
      <c r="H12" s="51">
        <f t="shared" si="2"/>
        <v>0</v>
      </c>
      <c r="I12" s="54" t="b">
        <v>0</v>
      </c>
      <c r="J12" s="55" t="str">
        <f t="shared" si="3"/>
        <v/>
      </c>
      <c r="K12" s="35"/>
      <c r="L12" s="35"/>
      <c r="M12" s="35"/>
      <c r="N12" s="35"/>
      <c r="O12" s="35"/>
      <c r="P12" s="35"/>
      <c r="Q12" s="35"/>
      <c r="R12" s="35"/>
      <c r="S12" s="35"/>
      <c r="T12" s="35"/>
      <c r="U12" s="35"/>
      <c r="V12" s="35"/>
      <c r="W12" s="35"/>
      <c r="X12" s="35"/>
      <c r="Y12" s="35"/>
      <c r="Z12" s="35"/>
    </row>
    <row r="13" ht="22.5" customHeight="1">
      <c r="A13" s="58"/>
      <c r="B13" s="49"/>
      <c r="C13" s="41"/>
      <c r="D13" s="59" t="s">
        <v>55</v>
      </c>
      <c r="E13" s="51">
        <f t="shared" si="1"/>
        <v>0</v>
      </c>
      <c r="F13" s="52">
        <f>IFERROR(ROUND(E13 / Totals_9[$ Subtotal], 4), 0)
</f>
        <v>0</v>
      </c>
      <c r="G13" s="51">
        <f>IFERROR(F13*(Totals_9[$ Tax Amount]+Totals_9[$ Tip Amount]), 0)
</f>
        <v>0</v>
      </c>
      <c r="H13" s="51">
        <f t="shared" si="2"/>
        <v>0</v>
      </c>
      <c r="I13" s="54" t="b">
        <v>0</v>
      </c>
      <c r="J13" s="55" t="str">
        <f t="shared" si="3"/>
        <v/>
      </c>
      <c r="K13" s="35"/>
      <c r="L13" s="35"/>
      <c r="M13" s="35"/>
      <c r="N13" s="35"/>
      <c r="O13" s="35"/>
      <c r="P13" s="35"/>
      <c r="Q13" s="35"/>
      <c r="R13" s="35"/>
      <c r="S13" s="35"/>
      <c r="T13" s="35"/>
      <c r="U13" s="35"/>
      <c r="V13" s="35"/>
      <c r="W13" s="35"/>
      <c r="X13" s="35"/>
      <c r="Y13" s="35"/>
      <c r="Z13" s="35"/>
    </row>
    <row r="14" ht="22.5" customHeight="1">
      <c r="A14" s="58"/>
      <c r="B14" s="49"/>
      <c r="C14" s="41"/>
      <c r="D14" s="59" t="s">
        <v>55</v>
      </c>
      <c r="E14" s="51">
        <f t="shared" si="1"/>
        <v>0</v>
      </c>
      <c r="F14" s="52">
        <f>IFERROR(ROUND(E14 / Totals_9[$ Subtotal], 4), 0)
</f>
        <v>0</v>
      </c>
      <c r="G14" s="51">
        <f>IFERROR(F14*(Totals_9[$ Tax Amount]+Totals_9[$ Tip Amount]), 0)
</f>
        <v>0</v>
      </c>
      <c r="H14" s="51">
        <f t="shared" si="2"/>
        <v>0</v>
      </c>
      <c r="I14" s="54" t="b">
        <v>0</v>
      </c>
      <c r="J14" s="55" t="str">
        <f t="shared" si="3"/>
        <v/>
      </c>
      <c r="K14" s="35"/>
      <c r="L14" s="35"/>
      <c r="M14" s="35"/>
      <c r="N14" s="35"/>
      <c r="O14" s="35"/>
      <c r="P14" s="35"/>
      <c r="Q14" s="35"/>
      <c r="R14" s="35"/>
      <c r="S14" s="35"/>
      <c r="T14" s="35"/>
      <c r="U14" s="35"/>
      <c r="V14" s="35"/>
      <c r="W14" s="35"/>
      <c r="X14" s="35"/>
      <c r="Y14" s="35"/>
      <c r="Z14" s="35"/>
    </row>
    <row r="15" ht="22.5" customHeight="1">
      <c r="A15" s="58"/>
      <c r="B15" s="49"/>
      <c r="C15" s="41"/>
      <c r="D15" s="59" t="s">
        <v>55</v>
      </c>
      <c r="E15" s="51">
        <f t="shared" si="1"/>
        <v>0</v>
      </c>
      <c r="F15" s="52">
        <f>IFERROR(ROUND(E15 / Totals_9[$ Subtotal], 4), 0)
</f>
        <v>0</v>
      </c>
      <c r="G15" s="51">
        <f>IFERROR(F15*(Totals_9[$ Tax Amount]+Totals_9[$ Tip Amount]), 0)
</f>
        <v>0</v>
      </c>
      <c r="H15" s="51">
        <f t="shared" si="2"/>
        <v>0</v>
      </c>
      <c r="I15" s="54" t="b">
        <v>0</v>
      </c>
      <c r="J15" s="55" t="str">
        <f t="shared" si="3"/>
        <v/>
      </c>
      <c r="K15" s="35"/>
      <c r="L15" s="35"/>
      <c r="M15" s="35"/>
      <c r="N15" s="35"/>
      <c r="O15" s="35"/>
      <c r="P15" s="35"/>
      <c r="Q15" s="35"/>
      <c r="R15" s="35"/>
      <c r="S15" s="35"/>
      <c r="T15" s="35"/>
      <c r="U15" s="35"/>
      <c r="V15" s="35"/>
      <c r="W15" s="35"/>
      <c r="X15" s="35"/>
      <c r="Y15" s="35"/>
      <c r="Z15" s="35"/>
    </row>
    <row r="16" ht="22.5" customHeight="1">
      <c r="A16" s="48"/>
      <c r="B16" s="49"/>
      <c r="C16" s="41"/>
      <c r="D16" s="59" t="s">
        <v>55</v>
      </c>
      <c r="E16" s="51">
        <f t="shared" si="1"/>
        <v>0</v>
      </c>
      <c r="F16" s="52">
        <f>IFERROR(ROUND(E16 / Totals_9[$ Subtotal], 4), 0)
</f>
        <v>0</v>
      </c>
      <c r="G16" s="51">
        <f>IFERROR(F16*(Totals_9[$ Tax Amount]+Totals_9[$ Tip Amount]), 0)
</f>
        <v>0</v>
      </c>
      <c r="H16" s="51">
        <f t="shared" si="2"/>
        <v>0</v>
      </c>
      <c r="I16" s="54" t="b">
        <v>0</v>
      </c>
      <c r="J16" s="55" t="str">
        <f t="shared" si="3"/>
        <v/>
      </c>
      <c r="K16" s="35"/>
      <c r="L16" s="35"/>
      <c r="M16" s="35"/>
      <c r="N16" s="35"/>
      <c r="O16" s="35"/>
      <c r="P16" s="35"/>
      <c r="Q16" s="35"/>
      <c r="R16" s="35"/>
      <c r="S16" s="35"/>
      <c r="T16" s="35"/>
      <c r="U16" s="35"/>
      <c r="V16" s="35"/>
      <c r="W16" s="35"/>
      <c r="X16" s="35"/>
      <c r="Y16" s="35"/>
      <c r="Z16" s="35"/>
    </row>
    <row r="17" ht="22.5" customHeight="1">
      <c r="A17" s="48"/>
      <c r="B17" s="56"/>
      <c r="C17" s="41"/>
      <c r="D17" s="59" t="s">
        <v>55</v>
      </c>
      <c r="E17" s="51">
        <f t="shared" si="1"/>
        <v>0</v>
      </c>
      <c r="F17" s="52">
        <f>IFERROR(ROUND(E17 / Totals_9[$ Subtotal], 4), 0)
</f>
        <v>0</v>
      </c>
      <c r="G17" s="51">
        <f>IFERROR(F17*(Totals_9[$ Tax Amount]+Totals_9[$ Tip Amount]), 0)
</f>
        <v>0</v>
      </c>
      <c r="H17" s="51">
        <f t="shared" si="2"/>
        <v>0</v>
      </c>
      <c r="I17" s="54" t="b">
        <v>0</v>
      </c>
      <c r="J17" s="55" t="str">
        <f t="shared" si="3"/>
        <v/>
      </c>
      <c r="K17" s="35"/>
      <c r="L17" s="35"/>
      <c r="M17" s="35"/>
      <c r="N17" s="35"/>
      <c r="O17" s="35"/>
      <c r="P17" s="35"/>
      <c r="Q17" s="35"/>
      <c r="R17" s="35"/>
      <c r="S17" s="35"/>
      <c r="T17" s="35"/>
      <c r="U17" s="35"/>
      <c r="V17" s="35"/>
      <c r="W17" s="35"/>
      <c r="X17" s="35"/>
      <c r="Y17" s="35"/>
      <c r="Z17" s="35"/>
    </row>
    <row r="18" ht="22.5" customHeight="1">
      <c r="A18" s="48"/>
      <c r="B18" s="49"/>
      <c r="C18" s="41"/>
      <c r="D18" s="59" t="s">
        <v>55</v>
      </c>
      <c r="E18" s="51">
        <f t="shared" si="1"/>
        <v>0</v>
      </c>
      <c r="F18" s="52">
        <f>IFERROR(ROUND(E18 / Totals_9[$ Subtotal], 4), 0)
</f>
        <v>0</v>
      </c>
      <c r="G18" s="51">
        <f>IFERROR(F18*(Totals_9[$ Tax Amount]+Totals_9[$ Tip Amount]), 0)
</f>
        <v>0</v>
      </c>
      <c r="H18" s="51">
        <f t="shared" si="2"/>
        <v>0</v>
      </c>
      <c r="I18" s="54" t="b">
        <v>0</v>
      </c>
      <c r="J18" s="55" t="str">
        <f t="shared" si="3"/>
        <v/>
      </c>
      <c r="K18" s="35"/>
      <c r="L18" s="35"/>
      <c r="M18" s="35"/>
      <c r="N18" s="35"/>
      <c r="O18" s="35"/>
      <c r="P18" s="35"/>
      <c r="Q18" s="35"/>
      <c r="R18" s="35"/>
      <c r="S18" s="35"/>
      <c r="T18" s="35"/>
      <c r="U18" s="35"/>
      <c r="V18" s="35"/>
      <c r="W18" s="35"/>
      <c r="X18" s="35"/>
      <c r="Y18" s="35"/>
      <c r="Z18" s="35"/>
    </row>
    <row r="19" ht="22.5" customHeight="1">
      <c r="A19" s="48"/>
      <c r="B19" s="49"/>
      <c r="C19" s="41"/>
      <c r="D19" s="59" t="s">
        <v>55</v>
      </c>
      <c r="E19" s="51">
        <f t="shared" si="1"/>
        <v>0</v>
      </c>
      <c r="F19" s="52">
        <f>IFERROR(ROUND(E19 / Totals_9[$ Subtotal], 4), 0)
</f>
        <v>0</v>
      </c>
      <c r="G19" s="51">
        <f>IFERROR(F19*(Totals_9[$ Tax Amount]+Totals_9[$ Tip Amount]), 0)
</f>
        <v>0</v>
      </c>
      <c r="H19" s="51">
        <f t="shared" si="2"/>
        <v>0</v>
      </c>
      <c r="I19" s="54" t="b">
        <v>0</v>
      </c>
      <c r="J19" s="55" t="str">
        <f t="shared" si="3"/>
        <v/>
      </c>
      <c r="K19" s="35"/>
      <c r="L19" s="35"/>
      <c r="M19" s="35"/>
      <c r="N19" s="35"/>
      <c r="O19" s="35"/>
      <c r="P19" s="35"/>
      <c r="Q19" s="35"/>
      <c r="R19" s="35"/>
      <c r="S19" s="35"/>
      <c r="T19" s="35"/>
      <c r="U19" s="35"/>
      <c r="V19" s="35"/>
      <c r="W19" s="35"/>
      <c r="X19" s="35"/>
      <c r="Y19" s="35"/>
      <c r="Z19" s="35"/>
    </row>
    <row r="20" ht="22.5" customHeight="1">
      <c r="A20" s="48"/>
      <c r="B20" s="49"/>
      <c r="C20" s="41"/>
      <c r="D20" s="59" t="s">
        <v>55</v>
      </c>
      <c r="E20" s="51">
        <f t="shared" si="1"/>
        <v>0</v>
      </c>
      <c r="F20" s="52">
        <f>IFERROR(ROUND(E20 / Totals_9[$ Subtotal], 4), 0)
</f>
        <v>0</v>
      </c>
      <c r="G20" s="51">
        <f>IFERROR(F20*(Totals_9[$ Tax Amount]+Totals_9[$ Tip Amount]), 0)
</f>
        <v>0</v>
      </c>
      <c r="H20" s="51">
        <f t="shared" si="2"/>
        <v>0</v>
      </c>
      <c r="I20" s="54" t="b">
        <v>0</v>
      </c>
      <c r="J20" s="55" t="str">
        <f t="shared" si="3"/>
        <v/>
      </c>
      <c r="K20" s="35"/>
      <c r="L20" s="35"/>
      <c r="M20" s="35"/>
      <c r="N20" s="35"/>
      <c r="O20" s="35"/>
      <c r="P20" s="35"/>
      <c r="Q20" s="35"/>
      <c r="R20" s="35"/>
      <c r="S20" s="35"/>
      <c r="T20" s="35"/>
      <c r="U20" s="35"/>
      <c r="V20" s="35"/>
      <c r="W20" s="35"/>
      <c r="X20" s="35"/>
      <c r="Y20" s="35"/>
      <c r="Z20" s="35"/>
    </row>
    <row r="21" ht="22.5" customHeight="1">
      <c r="A21" s="48"/>
      <c r="B21" s="49"/>
      <c r="C21" s="41"/>
      <c r="D21" s="59" t="s">
        <v>55</v>
      </c>
      <c r="E21" s="51">
        <f t="shared" si="1"/>
        <v>0</v>
      </c>
      <c r="F21" s="52">
        <f>IFERROR(ROUND(E21 / Totals_9[$ Subtotal], 4), 0)
</f>
        <v>0</v>
      </c>
      <c r="G21" s="51">
        <f>IFERROR(F21*(Totals_9[$ Tax Amount]+Totals_9[$ Tip Amount]), 0)
</f>
        <v>0</v>
      </c>
      <c r="H21" s="51">
        <f t="shared" si="2"/>
        <v>0</v>
      </c>
      <c r="I21" s="54" t="b">
        <v>0</v>
      </c>
      <c r="J21" s="55" t="str">
        <f t="shared" si="3"/>
        <v/>
      </c>
      <c r="K21" s="35"/>
      <c r="L21" s="35"/>
      <c r="M21" s="35"/>
      <c r="N21" s="35"/>
      <c r="O21" s="35"/>
      <c r="P21" s="35"/>
      <c r="Q21" s="35"/>
      <c r="R21" s="35"/>
      <c r="S21" s="35"/>
      <c r="T21" s="35"/>
      <c r="U21" s="35"/>
      <c r="V21" s="35"/>
      <c r="W21" s="35"/>
      <c r="X21" s="35"/>
      <c r="Y21" s="35"/>
      <c r="Z21" s="35"/>
    </row>
    <row r="22" ht="22.5" customHeight="1">
      <c r="A22" s="48"/>
      <c r="B22" s="49"/>
      <c r="C22" s="41"/>
      <c r="D22" s="59" t="s">
        <v>55</v>
      </c>
      <c r="E22" s="51">
        <f t="shared" si="1"/>
        <v>0</v>
      </c>
      <c r="F22" s="52">
        <f>IFERROR(ROUND(E22 / Totals_9[$ Subtotal], 4), 0)
</f>
        <v>0</v>
      </c>
      <c r="G22" s="51">
        <f>IFERROR(F22*(Totals_9[$ Tax Amount]+Totals_9[$ Tip Amount]), 0)
</f>
        <v>0</v>
      </c>
      <c r="H22" s="51">
        <f t="shared" si="2"/>
        <v>0</v>
      </c>
      <c r="I22" s="54" t="b">
        <v>0</v>
      </c>
      <c r="J22" s="55" t="str">
        <f t="shared" si="3"/>
        <v/>
      </c>
      <c r="K22" s="35"/>
      <c r="L22" s="35"/>
      <c r="M22" s="35"/>
      <c r="N22" s="35"/>
      <c r="O22" s="35"/>
      <c r="P22" s="35"/>
      <c r="Q22" s="35"/>
      <c r="R22" s="35"/>
      <c r="S22" s="35"/>
      <c r="T22" s="35"/>
      <c r="U22" s="35"/>
      <c r="V22" s="35"/>
      <c r="W22" s="35"/>
      <c r="X22" s="35"/>
      <c r="Y22" s="35"/>
      <c r="Z22" s="35"/>
    </row>
    <row r="23" ht="22.5" customHeight="1">
      <c r="A23" s="48"/>
      <c r="B23" s="56"/>
      <c r="C23" s="41"/>
      <c r="D23" s="59" t="s">
        <v>55</v>
      </c>
      <c r="E23" s="51">
        <f t="shared" si="1"/>
        <v>0</v>
      </c>
      <c r="F23" s="52">
        <f>IFERROR(ROUND(E23 / Totals_9[$ Subtotal], 4), 0)
</f>
        <v>0</v>
      </c>
      <c r="G23" s="51">
        <f>IFERROR(F23*(Totals_9[$ Tax Amount]+Totals_9[$ Tip Amount]), 0)
</f>
        <v>0</v>
      </c>
      <c r="H23" s="51">
        <f t="shared" si="2"/>
        <v>0</v>
      </c>
      <c r="I23" s="54" t="b">
        <v>0</v>
      </c>
      <c r="J23" s="55" t="str">
        <f t="shared" si="3"/>
        <v/>
      </c>
      <c r="K23" s="35"/>
      <c r="L23" s="35"/>
      <c r="M23" s="35"/>
      <c r="N23" s="35"/>
      <c r="O23" s="35"/>
      <c r="P23" s="35"/>
      <c r="Q23" s="35"/>
      <c r="R23" s="35"/>
      <c r="S23" s="35"/>
      <c r="T23" s="35"/>
      <c r="U23" s="35"/>
      <c r="V23" s="35"/>
      <c r="W23" s="35"/>
      <c r="X23" s="35"/>
      <c r="Y23" s="35"/>
      <c r="Z23" s="35"/>
    </row>
    <row r="24" ht="22.5" customHeight="1">
      <c r="A24" s="58"/>
      <c r="B24" s="56"/>
      <c r="C24" s="57"/>
      <c r="D24" s="59" t="s">
        <v>55</v>
      </c>
      <c r="E24" s="51">
        <f t="shared" si="1"/>
        <v>0</v>
      </c>
      <c r="F24" s="52">
        <f>IFERROR(ROUND(E24 / Totals_9[$ Subtotal], 4), 0)
</f>
        <v>0</v>
      </c>
      <c r="G24" s="51">
        <f>IFERROR(F24*(Totals_9[$ Tax Amount]+Totals_9[$ Tip Amount]), 0)
</f>
        <v>0</v>
      </c>
      <c r="H24" s="51">
        <f t="shared" si="2"/>
        <v>0</v>
      </c>
      <c r="I24" s="54" t="b">
        <v>0</v>
      </c>
      <c r="J24" s="55" t="str">
        <f t="shared" si="3"/>
        <v/>
      </c>
      <c r="K24" s="35"/>
      <c r="L24" s="35"/>
      <c r="M24" s="35"/>
      <c r="N24" s="35"/>
      <c r="O24" s="35"/>
      <c r="P24" s="35"/>
      <c r="Q24" s="35"/>
      <c r="R24" s="35"/>
      <c r="S24" s="35"/>
      <c r="T24" s="35"/>
      <c r="U24" s="35"/>
      <c r="V24" s="35"/>
      <c r="W24" s="35"/>
      <c r="X24" s="35"/>
      <c r="Y24" s="35"/>
      <c r="Z24" s="35"/>
    </row>
    <row r="25" ht="22.5" customHeight="1">
      <c r="A25" s="58"/>
      <c r="B25" s="56"/>
      <c r="C25" s="57"/>
      <c r="D25" s="59" t="s">
        <v>55</v>
      </c>
      <c r="E25" s="51">
        <f t="shared" si="1"/>
        <v>0</v>
      </c>
      <c r="F25" s="52">
        <f>IFERROR(ROUND(E25 / Totals_9[$ Subtotal], 4), 0)
</f>
        <v>0</v>
      </c>
      <c r="G25" s="51">
        <f>IFERROR(F25*(Totals_9[$ Tax Amount]+Totals_9[$ Tip Amount]), 0)
</f>
        <v>0</v>
      </c>
      <c r="H25" s="51">
        <f t="shared" si="2"/>
        <v>0</v>
      </c>
      <c r="I25" s="54" t="b">
        <v>0</v>
      </c>
      <c r="J25" s="55" t="str">
        <f t="shared" si="3"/>
        <v/>
      </c>
      <c r="K25" s="35"/>
      <c r="L25" s="35"/>
      <c r="M25" s="35"/>
      <c r="N25" s="35"/>
      <c r="O25" s="35"/>
      <c r="P25" s="35"/>
      <c r="Q25" s="35"/>
      <c r="R25" s="35"/>
      <c r="S25" s="35"/>
      <c r="T25" s="35"/>
      <c r="U25" s="35"/>
      <c r="V25" s="35"/>
      <c r="W25" s="35"/>
      <c r="X25" s="35"/>
      <c r="Y25" s="35"/>
      <c r="Z25" s="35"/>
    </row>
    <row r="26" ht="22.5" customHeight="1">
      <c r="A26" s="58"/>
      <c r="B26" s="56"/>
      <c r="C26" s="57"/>
      <c r="D26" s="59" t="s">
        <v>55</v>
      </c>
      <c r="E26" s="51">
        <f t="shared" si="1"/>
        <v>0</v>
      </c>
      <c r="F26" s="52">
        <f>IFERROR(ROUND(E26 / Totals_9[$ Subtotal], 4), 0)
</f>
        <v>0</v>
      </c>
      <c r="G26" s="51">
        <f>IFERROR(F26*(Totals_9[$ Tax Amount]+Totals_9[$ Tip Amount]), 0)
</f>
        <v>0</v>
      </c>
      <c r="H26" s="51">
        <f t="shared" si="2"/>
        <v>0</v>
      </c>
      <c r="I26" s="54" t="b">
        <v>0</v>
      </c>
      <c r="J26" s="55" t="str">
        <f t="shared" si="3"/>
        <v/>
      </c>
      <c r="K26" s="35"/>
      <c r="L26" s="35"/>
      <c r="M26" s="35"/>
      <c r="N26" s="35"/>
      <c r="O26" s="35"/>
      <c r="P26" s="35"/>
      <c r="Q26" s="35"/>
      <c r="R26" s="35"/>
      <c r="S26" s="35"/>
      <c r="T26" s="35"/>
      <c r="U26" s="35"/>
      <c r="V26" s="35"/>
      <c r="W26" s="35"/>
      <c r="X26" s="35"/>
      <c r="Y26" s="35"/>
      <c r="Z26" s="35"/>
    </row>
    <row r="27" ht="22.5" customHeight="1">
      <c r="A27" s="58"/>
      <c r="B27" s="56"/>
      <c r="C27" s="57"/>
      <c r="D27" s="59" t="s">
        <v>55</v>
      </c>
      <c r="E27" s="51">
        <f t="shared" si="1"/>
        <v>0</v>
      </c>
      <c r="F27" s="52">
        <f>IFERROR(ROUND(E27 / Totals_9[$ Subtotal], 4), 0)
</f>
        <v>0</v>
      </c>
      <c r="G27" s="51">
        <f>IFERROR(F27*(Totals_9[$ Tax Amount]+Totals_9[$ Tip Amount]), 0)
</f>
        <v>0</v>
      </c>
      <c r="H27" s="51">
        <f t="shared" si="2"/>
        <v>0</v>
      </c>
      <c r="I27" s="54" t="b">
        <v>0</v>
      </c>
      <c r="J27" s="55" t="str">
        <f t="shared" si="3"/>
        <v/>
      </c>
      <c r="K27" s="35"/>
      <c r="L27" s="35"/>
      <c r="M27" s="35"/>
      <c r="N27" s="35"/>
      <c r="O27" s="35"/>
      <c r="P27" s="35"/>
      <c r="Q27" s="35"/>
      <c r="R27" s="35"/>
      <c r="S27" s="35"/>
      <c r="T27" s="35"/>
      <c r="U27" s="35"/>
      <c r="V27" s="35"/>
      <c r="W27" s="35"/>
      <c r="X27" s="35"/>
      <c r="Y27" s="35"/>
      <c r="Z27" s="35"/>
    </row>
  </sheetData>
  <conditionalFormatting sqref="D8:D27">
    <cfRule type="colorScale" priority="1">
      <colorScale>
        <cfvo type="min"/>
        <cfvo type="max"/>
        <color rgb="FFFFFFFF"/>
        <color rgb="FF57BB8A"/>
      </colorScale>
    </cfRule>
  </conditionalFormatting>
  <conditionalFormatting sqref="J8:J27">
    <cfRule type="expression" dxfId="7" priority="2">
      <formula>AND(I8=FALSE,E8&lt;&gt;0)</formula>
    </cfRule>
  </conditionalFormatting>
  <dataValidations>
    <dataValidation type="decimal" allowBlank="1" showDropDown="1" showInputMessage="1" prompt="Enter a tip percentage between 0 and 100" sqref="B1">
      <formula1>0.0</formula1>
      <formula2>100.0</formula2>
    </dataValidation>
    <dataValidation type="custom" allowBlank="1" showDropDown="1" sqref="B4:E4 C8:C27 E8:G27">
      <formula1>AND(ISNUMBER(B4),(NOT(OR(NOT(ISERROR(DATEVALUE(B4))), AND(ISNUMBER(B4), LEFT(CELL("format", B4))="D")))))</formula1>
    </dataValidation>
    <dataValidation type="list" allowBlank="1" sqref="D8:D27">
      <formula1>"N/A,Solo,Appetizer,Treated"</formula1>
    </dataValidation>
    <dataValidation allowBlank="1" showDropDown="1" sqref="B8:B27"/>
  </dataValidations>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4.5"/>
    <col customWidth="1" min="2" max="2" width="13.88"/>
    <col customWidth="1" min="3" max="3" width="12.25"/>
    <col customWidth="1" min="4" max="4" width="14.25"/>
    <col customWidth="1" min="5" max="5" width="12.5"/>
    <col customWidth="1" min="6" max="6" width="14.75"/>
    <col customWidth="1" min="7" max="7" width="12.13"/>
    <col customWidth="1" min="8" max="8" width="10.13"/>
    <col customWidth="1" min="9" max="9" width="11.0"/>
    <col customWidth="1" min="10" max="10" width="22.25"/>
    <col customWidth="1" min="11" max="11" width="15.88"/>
  </cols>
  <sheetData>
    <row r="1" ht="57.0" customHeight="1">
      <c r="A1" s="33" t="s">
        <v>56</v>
      </c>
      <c r="B1" s="34"/>
      <c r="C1" s="35"/>
      <c r="D1" s="35"/>
      <c r="E1" s="35"/>
      <c r="F1" s="35"/>
      <c r="G1" s="35"/>
      <c r="H1" s="35"/>
      <c r="I1" s="35"/>
      <c r="J1" s="35"/>
      <c r="K1" s="35"/>
      <c r="L1" s="35"/>
      <c r="M1" s="35"/>
      <c r="N1" s="35"/>
      <c r="O1" s="35"/>
      <c r="P1" s="35"/>
      <c r="Q1" s="35"/>
      <c r="R1" s="35"/>
      <c r="S1" s="35"/>
      <c r="T1" s="35"/>
      <c r="U1" s="35"/>
      <c r="V1" s="35"/>
      <c r="W1" s="35"/>
      <c r="X1" s="35"/>
      <c r="Y1" s="35"/>
      <c r="Z1" s="35"/>
      <c r="AA1" s="35"/>
    </row>
    <row r="2" outlineLevel="1">
      <c r="A2" s="36" t="s">
        <v>29</v>
      </c>
      <c r="B2" s="37"/>
      <c r="C2" s="37"/>
      <c r="D2" s="37"/>
      <c r="E2" s="37"/>
      <c r="F2" s="35"/>
      <c r="G2" s="35"/>
      <c r="H2" s="35"/>
      <c r="I2" s="35"/>
      <c r="J2" s="35"/>
      <c r="K2" s="35"/>
      <c r="L2" s="35"/>
      <c r="M2" s="35"/>
      <c r="N2" s="35"/>
      <c r="O2" s="35"/>
      <c r="P2" s="35"/>
      <c r="Q2" s="35"/>
      <c r="R2" s="35"/>
      <c r="S2" s="35"/>
      <c r="T2" s="35"/>
      <c r="U2" s="35"/>
      <c r="V2" s="35"/>
      <c r="W2" s="35"/>
      <c r="X2" s="35"/>
      <c r="Y2" s="35"/>
      <c r="Z2" s="35"/>
      <c r="AA2" s="35"/>
    </row>
    <row r="3" ht="22.5" customHeight="1" outlineLevel="1">
      <c r="A3" s="38" t="s">
        <v>30</v>
      </c>
      <c r="B3" s="39" t="s">
        <v>31</v>
      </c>
      <c r="C3" s="39" t="s">
        <v>32</v>
      </c>
      <c r="D3" s="40" t="s">
        <v>33</v>
      </c>
      <c r="E3" s="39" t="s">
        <v>34</v>
      </c>
      <c r="F3" s="35"/>
      <c r="G3" s="35"/>
      <c r="H3" s="35"/>
      <c r="I3" s="35"/>
      <c r="J3" s="35"/>
      <c r="K3" s="35"/>
      <c r="L3" s="35"/>
      <c r="M3" s="35"/>
      <c r="N3" s="35"/>
      <c r="O3" s="35"/>
      <c r="P3" s="35"/>
      <c r="Q3" s="35"/>
      <c r="R3" s="35"/>
      <c r="S3" s="35"/>
      <c r="T3" s="35"/>
      <c r="U3" s="35"/>
      <c r="V3" s="35"/>
      <c r="W3" s="35"/>
      <c r="X3" s="35"/>
      <c r="Y3" s="35"/>
      <c r="Z3" s="35"/>
      <c r="AA3" s="35"/>
    </row>
    <row r="4" ht="22.5" customHeight="1" outlineLevel="1">
      <c r="A4" s="36" t="s">
        <v>35</v>
      </c>
      <c r="B4" s="41">
        <v>4.72</v>
      </c>
      <c r="C4" s="41">
        <v>5.0</v>
      </c>
      <c r="D4" s="42">
        <f>SUM(Food_Ordered_8[$ Dish Price])</f>
        <v>58.97</v>
      </c>
      <c r="E4" s="43">
        <f>ROUND(SUM(H:H),4)</f>
        <v>68.69</v>
      </c>
      <c r="F4" s="35"/>
      <c r="G4" s="35"/>
      <c r="H4" s="35"/>
      <c r="I4" s="35"/>
      <c r="J4" s="35"/>
      <c r="K4" s="35"/>
      <c r="L4" s="35"/>
      <c r="M4" s="35"/>
      <c r="N4" s="35"/>
      <c r="O4" s="35"/>
      <c r="P4" s="35"/>
      <c r="Q4" s="35"/>
      <c r="R4" s="35"/>
      <c r="S4" s="35"/>
      <c r="T4" s="35"/>
      <c r="U4" s="35"/>
      <c r="V4" s="35"/>
      <c r="W4" s="35"/>
      <c r="X4" s="35"/>
      <c r="Y4" s="35"/>
      <c r="Z4" s="35"/>
      <c r="AA4" s="35"/>
    </row>
    <row r="5" ht="22.5" customHeight="1">
      <c r="A5" s="36" t="s">
        <v>36</v>
      </c>
      <c r="B5" s="44" t="str">
        <f>IFERROR("("&amp;TEXT(SUM(Totals_8[$ Tax Amount]/Totals_8[$ Subtotal]),"#,##0.00%")&amp;")",0)</f>
        <v>(8.00%)</v>
      </c>
      <c r="C5" s="44" t="str">
        <f>IFERROR("("&amp;TEXT(SUM(Totals_8[$ Tip Amount]/Totals_8[$ Subtotal]),"#,##0.00%")&amp;")",0)</f>
        <v>(8.48%)</v>
      </c>
      <c r="D5" s="45"/>
      <c r="E5" s="45"/>
      <c r="F5" s="35"/>
      <c r="G5" s="35"/>
      <c r="H5" s="35"/>
      <c r="I5" s="35"/>
      <c r="J5" s="35"/>
      <c r="K5" s="35"/>
      <c r="L5" s="35"/>
      <c r="M5" s="35"/>
      <c r="N5" s="35"/>
      <c r="O5" s="35"/>
      <c r="P5" s="35"/>
      <c r="Q5" s="35"/>
      <c r="R5" s="35"/>
      <c r="S5" s="35"/>
      <c r="T5" s="35"/>
      <c r="U5" s="35"/>
      <c r="V5" s="35"/>
      <c r="W5" s="35"/>
      <c r="X5" s="35"/>
      <c r="Y5" s="35"/>
      <c r="Z5" s="35"/>
      <c r="AA5" s="35"/>
    </row>
    <row r="6">
      <c r="A6" s="35"/>
      <c r="B6" s="35"/>
      <c r="C6" s="35"/>
      <c r="D6" s="35"/>
      <c r="E6" s="35"/>
      <c r="F6" s="35"/>
      <c r="G6" s="36"/>
      <c r="H6" s="35"/>
      <c r="I6" s="35"/>
      <c r="J6" s="35"/>
      <c r="K6" s="35"/>
      <c r="L6" s="35"/>
      <c r="M6" s="35"/>
      <c r="N6" s="35"/>
      <c r="O6" s="35"/>
      <c r="P6" s="35"/>
      <c r="Q6" s="35"/>
      <c r="R6" s="35"/>
      <c r="S6" s="35"/>
      <c r="T6" s="35"/>
      <c r="U6" s="35"/>
      <c r="V6" s="35"/>
      <c r="W6" s="35"/>
      <c r="X6" s="35"/>
      <c r="Y6" s="35"/>
      <c r="Z6" s="35"/>
      <c r="AA6" s="35"/>
    </row>
    <row r="7" ht="22.5" customHeight="1">
      <c r="A7" s="46" t="s">
        <v>37</v>
      </c>
      <c r="B7" s="46" t="s">
        <v>38</v>
      </c>
      <c r="C7" s="46" t="s">
        <v>39</v>
      </c>
      <c r="D7" s="46" t="s">
        <v>40</v>
      </c>
      <c r="E7" s="46" t="s">
        <v>12</v>
      </c>
      <c r="F7" s="47" t="s">
        <v>14</v>
      </c>
      <c r="G7" s="39" t="s">
        <v>16</v>
      </c>
      <c r="H7" s="39" t="s">
        <v>18</v>
      </c>
      <c r="I7" s="39" t="s">
        <v>41</v>
      </c>
      <c r="J7" s="39" t="s">
        <v>20</v>
      </c>
      <c r="K7" s="35"/>
      <c r="L7" s="35"/>
      <c r="M7" s="35"/>
      <c r="N7" s="35"/>
      <c r="O7" s="35"/>
      <c r="P7" s="35"/>
      <c r="Q7" s="35"/>
      <c r="R7" s="35"/>
      <c r="S7" s="35"/>
      <c r="T7" s="35"/>
      <c r="U7" s="35"/>
      <c r="V7" s="35"/>
      <c r="W7" s="35"/>
      <c r="X7" s="35"/>
      <c r="Y7" s="35"/>
      <c r="Z7" s="35"/>
    </row>
    <row r="8" ht="22.5" customHeight="1">
      <c r="A8" s="48" t="s">
        <v>80</v>
      </c>
      <c r="B8" s="49" t="s">
        <v>81</v>
      </c>
      <c r="C8" s="41">
        <v>10.5</v>
      </c>
      <c r="D8" s="59" t="s">
        <v>44</v>
      </c>
      <c r="E8" s="51">
        <f t="shared" ref="E8:E27" si="1">IF(OR(D8="Appetizer", D8="Treated",D8="N/A"), 0, SUMIF(A$8:A27, A8, C$8:C27) + (SUMIF(D$8:D27, "Appetizer", C$8:C27) + SUMIF(D$8:D27, "Treated", C$8:C27)) / COUNTIF(D$8:D27, "Solo"))
</f>
        <v>10.5</v>
      </c>
      <c r="F8" s="52">
        <f>IFERROR(ROUND(E8 / Totals_8[$ Subtotal], 4), 0)
</f>
        <v>0.1781</v>
      </c>
      <c r="G8" s="53">
        <f>IFERROR(F8*(Totals_8[$ Tax Amount]+Totals_8[$ Tip Amount]), 0)
</f>
        <v>1.731132</v>
      </c>
      <c r="H8" s="51">
        <f t="shared" ref="H8:H27" si="2">E8+G8</f>
        <v>12.231132</v>
      </c>
      <c r="I8" s="54" t="b">
        <v>0</v>
      </c>
      <c r="J8" s="55" t="str">
        <f t="shared" ref="J8:J27" si="3">IF(E8=0,"",A8 &amp; " ($" &amp; TEXT(H8, "#,##0.00") &amp; ") " &amp; IF(I8=TRUE, "✅", "❌"))</f>
        <v>atticus ($12.23) ❌</v>
      </c>
      <c r="K8" s="35"/>
      <c r="L8" s="35"/>
      <c r="M8" s="35"/>
      <c r="N8" s="35"/>
      <c r="O8" s="35"/>
      <c r="P8" s="35"/>
      <c r="Q8" s="35"/>
      <c r="R8" s="35"/>
      <c r="S8" s="35"/>
      <c r="T8" s="35"/>
      <c r="U8" s="35"/>
      <c r="V8" s="35"/>
      <c r="W8" s="35"/>
      <c r="X8" s="35"/>
      <c r="Y8" s="35"/>
      <c r="Z8" s="35"/>
    </row>
    <row r="9" ht="22.5" customHeight="1">
      <c r="A9" s="48" t="s">
        <v>82</v>
      </c>
      <c r="B9" s="49" t="s">
        <v>83</v>
      </c>
      <c r="C9" s="41">
        <v>12.99</v>
      </c>
      <c r="D9" s="59" t="s">
        <v>44</v>
      </c>
      <c r="E9" s="51">
        <f t="shared" si="1"/>
        <v>12.99</v>
      </c>
      <c r="F9" s="52">
        <f>IFERROR(ROUND(E9 / Totals_8[$ Subtotal], 4), 0)
</f>
        <v>0.2203</v>
      </c>
      <c r="G9" s="51">
        <f>IFERROR(F9*(Totals_8[$ Tax Amount]+Totals_8[$ Tip Amount]), 0)
</f>
        <v>2.141316</v>
      </c>
      <c r="H9" s="51">
        <f t="shared" si="2"/>
        <v>15.131316</v>
      </c>
      <c r="I9" s="54" t="b">
        <v>0</v>
      </c>
      <c r="J9" s="55" t="str">
        <f t="shared" si="3"/>
        <v>edison ($15.13) ❌</v>
      </c>
      <c r="K9" s="35"/>
      <c r="L9" s="35"/>
      <c r="M9" s="35"/>
      <c r="N9" s="35"/>
      <c r="O9" s="35"/>
      <c r="P9" s="35"/>
      <c r="Q9" s="35"/>
      <c r="R9" s="35"/>
      <c r="S9" s="35"/>
      <c r="T9" s="35"/>
      <c r="U9" s="35"/>
      <c r="V9" s="35"/>
      <c r="W9" s="35"/>
      <c r="X9" s="35"/>
      <c r="Y9" s="35"/>
      <c r="Z9" s="35"/>
    </row>
    <row r="10" ht="22.5" customHeight="1">
      <c r="A10" s="48" t="s">
        <v>84</v>
      </c>
      <c r="B10" s="49" t="s">
        <v>85</v>
      </c>
      <c r="C10" s="41">
        <v>18.99</v>
      </c>
      <c r="D10" s="59" t="s">
        <v>44</v>
      </c>
      <c r="E10" s="51">
        <f t="shared" si="1"/>
        <v>18.99</v>
      </c>
      <c r="F10" s="52">
        <f>IFERROR(ROUND(E10 / Totals_8[$ Subtotal], 4), 0)
</f>
        <v>0.322</v>
      </c>
      <c r="G10" s="53">
        <f>IFERROR(F10*(Totals_8[$ Tax Amount]+Totals_8[$ Tip Amount]), 0)
</f>
        <v>3.12984</v>
      </c>
      <c r="H10" s="51">
        <f t="shared" si="2"/>
        <v>22.11984</v>
      </c>
      <c r="I10" s="54" t="b">
        <v>0</v>
      </c>
      <c r="J10" s="55" t="str">
        <f t="shared" si="3"/>
        <v>emma ($22.12) ❌</v>
      </c>
      <c r="K10" s="35"/>
      <c r="L10" s="35"/>
      <c r="M10" s="35"/>
      <c r="N10" s="35"/>
      <c r="O10" s="35"/>
      <c r="P10" s="35"/>
      <c r="Q10" s="35"/>
      <c r="R10" s="35"/>
      <c r="S10" s="35"/>
      <c r="T10" s="35"/>
      <c r="U10" s="35"/>
      <c r="V10" s="35"/>
      <c r="W10" s="35"/>
      <c r="X10" s="35"/>
      <c r="Y10" s="35"/>
      <c r="Z10" s="35"/>
    </row>
    <row r="11" ht="22.5" customHeight="1">
      <c r="A11" s="48" t="s">
        <v>86</v>
      </c>
      <c r="B11" s="49" t="s">
        <v>87</v>
      </c>
      <c r="C11" s="41">
        <v>16.49</v>
      </c>
      <c r="D11" s="59" t="s">
        <v>44</v>
      </c>
      <c r="E11" s="51">
        <f t="shared" si="1"/>
        <v>16.49</v>
      </c>
      <c r="F11" s="52">
        <f>IFERROR(ROUND(E11 / Totals_8[$ Subtotal], 4), 0)
</f>
        <v>0.2796</v>
      </c>
      <c r="G11" s="51">
        <f>IFERROR(F11*(Totals_8[$ Tax Amount]+Totals_8[$ Tip Amount]), 0)
</f>
        <v>2.717712</v>
      </c>
      <c r="H11" s="51">
        <f t="shared" si="2"/>
        <v>19.207712</v>
      </c>
      <c r="I11" s="54" t="b">
        <v>0</v>
      </c>
      <c r="J11" s="55" t="str">
        <f t="shared" si="3"/>
        <v>matt ($19.21) ❌</v>
      </c>
      <c r="K11" s="35"/>
      <c r="L11" s="35"/>
      <c r="M11" s="35"/>
      <c r="N11" s="35"/>
      <c r="O11" s="35"/>
      <c r="P11" s="35"/>
      <c r="Q11" s="35"/>
      <c r="R11" s="35"/>
      <c r="S11" s="35"/>
      <c r="T11" s="35"/>
      <c r="U11" s="35"/>
      <c r="V11" s="35"/>
      <c r="W11" s="35"/>
      <c r="X11" s="35"/>
      <c r="Y11" s="35"/>
      <c r="Z11" s="35"/>
    </row>
    <row r="12" ht="22.5" customHeight="1">
      <c r="A12" s="48"/>
      <c r="B12" s="49"/>
      <c r="C12" s="41"/>
      <c r="D12" s="59" t="s">
        <v>55</v>
      </c>
      <c r="E12" s="51">
        <f t="shared" si="1"/>
        <v>0</v>
      </c>
      <c r="F12" s="52">
        <f>IFERROR(ROUND(E12 / Totals_8[$ Subtotal], 4), 0)
</f>
        <v>0</v>
      </c>
      <c r="G12" s="51">
        <f>IFERROR(F12*(Totals_8[$ Tax Amount]+Totals_8[$ Tip Amount]), 0)
</f>
        <v>0</v>
      </c>
      <c r="H12" s="51">
        <f t="shared" si="2"/>
        <v>0</v>
      </c>
      <c r="I12" s="54" t="b">
        <v>0</v>
      </c>
      <c r="J12" s="55" t="str">
        <f t="shared" si="3"/>
        <v/>
      </c>
      <c r="K12" s="35"/>
      <c r="L12" s="35"/>
      <c r="M12" s="35"/>
      <c r="N12" s="35"/>
      <c r="O12" s="35"/>
      <c r="P12" s="35"/>
      <c r="Q12" s="35"/>
      <c r="R12" s="35"/>
      <c r="S12" s="35"/>
      <c r="T12" s="35"/>
      <c r="U12" s="35"/>
      <c r="V12" s="35"/>
      <c r="W12" s="35"/>
      <c r="X12" s="35"/>
      <c r="Y12" s="35"/>
      <c r="Z12" s="35"/>
    </row>
    <row r="13" ht="22.5" customHeight="1">
      <c r="A13" s="58"/>
      <c r="B13" s="49"/>
      <c r="C13" s="41"/>
      <c r="D13" s="59" t="s">
        <v>55</v>
      </c>
      <c r="E13" s="51">
        <f t="shared" si="1"/>
        <v>0</v>
      </c>
      <c r="F13" s="52">
        <f>IFERROR(ROUND(E13 / Totals_8[$ Subtotal], 4), 0)
</f>
        <v>0</v>
      </c>
      <c r="G13" s="51">
        <f>IFERROR(F13*(Totals_8[$ Tax Amount]+Totals_8[$ Tip Amount]), 0)
</f>
        <v>0</v>
      </c>
      <c r="H13" s="51">
        <f t="shared" si="2"/>
        <v>0</v>
      </c>
      <c r="I13" s="54" t="b">
        <v>0</v>
      </c>
      <c r="J13" s="55" t="str">
        <f t="shared" si="3"/>
        <v/>
      </c>
      <c r="K13" s="35"/>
      <c r="L13" s="35"/>
      <c r="M13" s="35"/>
      <c r="N13" s="35"/>
      <c r="O13" s="35"/>
      <c r="P13" s="35"/>
      <c r="Q13" s="35"/>
      <c r="R13" s="35"/>
      <c r="S13" s="35"/>
      <c r="T13" s="35"/>
      <c r="U13" s="35"/>
      <c r="V13" s="35"/>
      <c r="W13" s="35"/>
      <c r="X13" s="35"/>
      <c r="Y13" s="35"/>
      <c r="Z13" s="35"/>
    </row>
    <row r="14" ht="22.5" customHeight="1">
      <c r="A14" s="58"/>
      <c r="B14" s="49"/>
      <c r="C14" s="41"/>
      <c r="D14" s="59" t="s">
        <v>55</v>
      </c>
      <c r="E14" s="51">
        <f t="shared" si="1"/>
        <v>0</v>
      </c>
      <c r="F14" s="52">
        <f>IFERROR(ROUND(E14 / Totals_8[$ Subtotal], 4), 0)
</f>
        <v>0</v>
      </c>
      <c r="G14" s="51">
        <f>IFERROR(F14*(Totals_8[$ Tax Amount]+Totals_8[$ Tip Amount]), 0)
</f>
        <v>0</v>
      </c>
      <c r="H14" s="51">
        <f t="shared" si="2"/>
        <v>0</v>
      </c>
      <c r="I14" s="54" t="b">
        <v>0</v>
      </c>
      <c r="J14" s="55" t="str">
        <f t="shared" si="3"/>
        <v/>
      </c>
      <c r="K14" s="35"/>
      <c r="L14" s="35"/>
      <c r="M14" s="35"/>
      <c r="N14" s="35"/>
      <c r="O14" s="35"/>
      <c r="P14" s="35"/>
      <c r="Q14" s="35"/>
      <c r="R14" s="35"/>
      <c r="S14" s="35"/>
      <c r="T14" s="35"/>
      <c r="U14" s="35"/>
      <c r="V14" s="35"/>
      <c r="W14" s="35"/>
      <c r="X14" s="35"/>
      <c r="Y14" s="35"/>
      <c r="Z14" s="35"/>
    </row>
    <row r="15" ht="22.5" customHeight="1">
      <c r="A15" s="58"/>
      <c r="B15" s="49"/>
      <c r="C15" s="41"/>
      <c r="D15" s="59" t="s">
        <v>55</v>
      </c>
      <c r="E15" s="51">
        <f t="shared" si="1"/>
        <v>0</v>
      </c>
      <c r="F15" s="52">
        <f>IFERROR(ROUND(E15 / Totals_8[$ Subtotal], 4), 0)
</f>
        <v>0</v>
      </c>
      <c r="G15" s="51">
        <f>IFERROR(F15*(Totals_8[$ Tax Amount]+Totals_8[$ Tip Amount]), 0)
</f>
        <v>0</v>
      </c>
      <c r="H15" s="51">
        <f t="shared" si="2"/>
        <v>0</v>
      </c>
      <c r="I15" s="54" t="b">
        <v>0</v>
      </c>
      <c r="J15" s="55" t="str">
        <f t="shared" si="3"/>
        <v/>
      </c>
      <c r="K15" s="35"/>
      <c r="L15" s="35"/>
      <c r="M15" s="35"/>
      <c r="N15" s="35"/>
      <c r="O15" s="35"/>
      <c r="P15" s="35"/>
      <c r="Q15" s="35"/>
      <c r="R15" s="35"/>
      <c r="S15" s="35"/>
      <c r="T15" s="35"/>
      <c r="U15" s="35"/>
      <c r="V15" s="35"/>
      <c r="W15" s="35"/>
      <c r="X15" s="35"/>
      <c r="Y15" s="35"/>
      <c r="Z15" s="35"/>
    </row>
    <row r="16" ht="22.5" customHeight="1">
      <c r="A16" s="48"/>
      <c r="B16" s="49"/>
      <c r="C16" s="41"/>
      <c r="D16" s="59" t="s">
        <v>55</v>
      </c>
      <c r="E16" s="51">
        <f t="shared" si="1"/>
        <v>0</v>
      </c>
      <c r="F16" s="52">
        <f>IFERROR(ROUND(E16 / Totals_8[$ Subtotal], 4), 0)
</f>
        <v>0</v>
      </c>
      <c r="G16" s="51">
        <f>IFERROR(F16*(Totals_8[$ Tax Amount]+Totals_8[$ Tip Amount]), 0)
</f>
        <v>0</v>
      </c>
      <c r="H16" s="51">
        <f t="shared" si="2"/>
        <v>0</v>
      </c>
      <c r="I16" s="54" t="b">
        <v>0</v>
      </c>
      <c r="J16" s="55" t="str">
        <f t="shared" si="3"/>
        <v/>
      </c>
      <c r="K16" s="35"/>
      <c r="L16" s="35"/>
      <c r="M16" s="35"/>
      <c r="N16" s="35"/>
      <c r="O16" s="35"/>
      <c r="P16" s="35"/>
      <c r="Q16" s="35"/>
      <c r="R16" s="35"/>
      <c r="S16" s="35"/>
      <c r="T16" s="35"/>
      <c r="U16" s="35"/>
      <c r="V16" s="35"/>
      <c r="W16" s="35"/>
      <c r="X16" s="35"/>
      <c r="Y16" s="35"/>
      <c r="Z16" s="35"/>
    </row>
    <row r="17" ht="22.5" customHeight="1">
      <c r="A17" s="48"/>
      <c r="B17" s="56"/>
      <c r="C17" s="41"/>
      <c r="D17" s="59" t="s">
        <v>55</v>
      </c>
      <c r="E17" s="51">
        <f t="shared" si="1"/>
        <v>0</v>
      </c>
      <c r="F17" s="52">
        <f>IFERROR(ROUND(E17 / Totals_8[$ Subtotal], 4), 0)
</f>
        <v>0</v>
      </c>
      <c r="G17" s="51">
        <f>IFERROR(F17*(Totals_8[$ Tax Amount]+Totals_8[$ Tip Amount]), 0)
</f>
        <v>0</v>
      </c>
      <c r="H17" s="51">
        <f t="shared" si="2"/>
        <v>0</v>
      </c>
      <c r="I17" s="54" t="b">
        <v>0</v>
      </c>
      <c r="J17" s="55" t="str">
        <f t="shared" si="3"/>
        <v/>
      </c>
      <c r="K17" s="35"/>
      <c r="L17" s="35"/>
      <c r="M17" s="35"/>
      <c r="N17" s="35"/>
      <c r="O17" s="35"/>
      <c r="P17" s="35"/>
      <c r="Q17" s="35"/>
      <c r="R17" s="35"/>
      <c r="S17" s="35"/>
      <c r="T17" s="35"/>
      <c r="U17" s="35"/>
      <c r="V17" s="35"/>
      <c r="W17" s="35"/>
      <c r="X17" s="35"/>
      <c r="Y17" s="35"/>
      <c r="Z17" s="35"/>
    </row>
    <row r="18" ht="22.5" customHeight="1">
      <c r="A18" s="48"/>
      <c r="B18" s="49"/>
      <c r="C18" s="41"/>
      <c r="D18" s="59" t="s">
        <v>55</v>
      </c>
      <c r="E18" s="51">
        <f t="shared" si="1"/>
        <v>0</v>
      </c>
      <c r="F18" s="52">
        <f>IFERROR(ROUND(E18 / Totals_8[$ Subtotal], 4), 0)
</f>
        <v>0</v>
      </c>
      <c r="G18" s="51">
        <f>IFERROR(F18*(Totals_8[$ Tax Amount]+Totals_8[$ Tip Amount]), 0)
</f>
        <v>0</v>
      </c>
      <c r="H18" s="51">
        <f t="shared" si="2"/>
        <v>0</v>
      </c>
      <c r="I18" s="54" t="b">
        <v>0</v>
      </c>
      <c r="J18" s="55" t="str">
        <f t="shared" si="3"/>
        <v/>
      </c>
      <c r="K18" s="35"/>
      <c r="L18" s="35"/>
      <c r="M18" s="35"/>
      <c r="N18" s="35"/>
      <c r="O18" s="35"/>
      <c r="P18" s="35"/>
      <c r="Q18" s="35"/>
      <c r="R18" s="35"/>
      <c r="S18" s="35"/>
      <c r="T18" s="35"/>
      <c r="U18" s="35"/>
      <c r="V18" s="35"/>
      <c r="W18" s="35"/>
      <c r="X18" s="35"/>
      <c r="Y18" s="35"/>
      <c r="Z18" s="35"/>
    </row>
    <row r="19" ht="22.5" customHeight="1">
      <c r="A19" s="48"/>
      <c r="B19" s="49"/>
      <c r="C19" s="41"/>
      <c r="D19" s="59" t="s">
        <v>55</v>
      </c>
      <c r="E19" s="51">
        <f t="shared" si="1"/>
        <v>0</v>
      </c>
      <c r="F19" s="52">
        <f>IFERROR(ROUND(E19 / Totals_8[$ Subtotal], 4), 0)
</f>
        <v>0</v>
      </c>
      <c r="G19" s="51">
        <f>IFERROR(F19*(Totals_8[$ Tax Amount]+Totals_8[$ Tip Amount]), 0)
</f>
        <v>0</v>
      </c>
      <c r="H19" s="51">
        <f t="shared" si="2"/>
        <v>0</v>
      </c>
      <c r="I19" s="54" t="b">
        <v>0</v>
      </c>
      <c r="J19" s="55" t="str">
        <f t="shared" si="3"/>
        <v/>
      </c>
      <c r="K19" s="35"/>
      <c r="L19" s="35"/>
      <c r="M19" s="35"/>
      <c r="N19" s="35"/>
      <c r="O19" s="35"/>
      <c r="P19" s="35"/>
      <c r="Q19" s="35"/>
      <c r="R19" s="35"/>
      <c r="S19" s="35"/>
      <c r="T19" s="35"/>
      <c r="U19" s="35"/>
      <c r="V19" s="35"/>
      <c r="W19" s="35"/>
      <c r="X19" s="35"/>
      <c r="Y19" s="35"/>
      <c r="Z19" s="35"/>
    </row>
    <row r="20" ht="22.5" customHeight="1">
      <c r="A20" s="48"/>
      <c r="B20" s="49"/>
      <c r="C20" s="41"/>
      <c r="D20" s="59" t="s">
        <v>55</v>
      </c>
      <c r="E20" s="51">
        <f t="shared" si="1"/>
        <v>0</v>
      </c>
      <c r="F20" s="52">
        <f>IFERROR(ROUND(E20 / Totals_8[$ Subtotal], 4), 0)
</f>
        <v>0</v>
      </c>
      <c r="G20" s="51">
        <f>IFERROR(F20*(Totals_8[$ Tax Amount]+Totals_8[$ Tip Amount]), 0)
</f>
        <v>0</v>
      </c>
      <c r="H20" s="51">
        <f t="shared" si="2"/>
        <v>0</v>
      </c>
      <c r="I20" s="54" t="b">
        <v>0</v>
      </c>
      <c r="J20" s="55" t="str">
        <f t="shared" si="3"/>
        <v/>
      </c>
      <c r="K20" s="35"/>
      <c r="L20" s="35"/>
      <c r="M20" s="35"/>
      <c r="N20" s="35"/>
      <c r="O20" s="35"/>
      <c r="P20" s="35"/>
      <c r="Q20" s="35"/>
      <c r="R20" s="35"/>
      <c r="S20" s="35"/>
      <c r="T20" s="35"/>
      <c r="U20" s="35"/>
      <c r="V20" s="35"/>
      <c r="W20" s="35"/>
      <c r="X20" s="35"/>
      <c r="Y20" s="35"/>
      <c r="Z20" s="35"/>
    </row>
    <row r="21" ht="22.5" customHeight="1">
      <c r="A21" s="48"/>
      <c r="B21" s="49"/>
      <c r="C21" s="41"/>
      <c r="D21" s="59" t="s">
        <v>55</v>
      </c>
      <c r="E21" s="51">
        <f t="shared" si="1"/>
        <v>0</v>
      </c>
      <c r="F21" s="52">
        <f>IFERROR(ROUND(E21 / Totals_8[$ Subtotal], 4), 0)
</f>
        <v>0</v>
      </c>
      <c r="G21" s="51">
        <f>IFERROR(F21*(Totals_8[$ Tax Amount]+Totals_8[$ Tip Amount]), 0)
</f>
        <v>0</v>
      </c>
      <c r="H21" s="51">
        <f t="shared" si="2"/>
        <v>0</v>
      </c>
      <c r="I21" s="54" t="b">
        <v>0</v>
      </c>
      <c r="J21" s="55" t="str">
        <f t="shared" si="3"/>
        <v/>
      </c>
      <c r="K21" s="35"/>
      <c r="L21" s="35"/>
      <c r="M21" s="35"/>
      <c r="N21" s="35"/>
      <c r="O21" s="35"/>
      <c r="P21" s="35"/>
      <c r="Q21" s="35"/>
      <c r="R21" s="35"/>
      <c r="S21" s="35"/>
      <c r="T21" s="35"/>
      <c r="U21" s="35"/>
      <c r="V21" s="35"/>
      <c r="W21" s="35"/>
      <c r="X21" s="35"/>
      <c r="Y21" s="35"/>
      <c r="Z21" s="35"/>
    </row>
    <row r="22" ht="22.5" customHeight="1">
      <c r="A22" s="48"/>
      <c r="B22" s="49"/>
      <c r="C22" s="41"/>
      <c r="D22" s="59" t="s">
        <v>55</v>
      </c>
      <c r="E22" s="51">
        <f t="shared" si="1"/>
        <v>0</v>
      </c>
      <c r="F22" s="52">
        <f>IFERROR(ROUND(E22 / Totals_8[$ Subtotal], 4), 0)
</f>
        <v>0</v>
      </c>
      <c r="G22" s="51">
        <f>IFERROR(F22*(Totals_8[$ Tax Amount]+Totals_8[$ Tip Amount]), 0)
</f>
        <v>0</v>
      </c>
      <c r="H22" s="51">
        <f t="shared" si="2"/>
        <v>0</v>
      </c>
      <c r="I22" s="54" t="b">
        <v>0</v>
      </c>
      <c r="J22" s="55" t="str">
        <f t="shared" si="3"/>
        <v/>
      </c>
      <c r="K22" s="35"/>
      <c r="L22" s="35"/>
      <c r="M22" s="35"/>
      <c r="N22" s="35"/>
      <c r="O22" s="35"/>
      <c r="P22" s="35"/>
      <c r="Q22" s="35"/>
      <c r="R22" s="35"/>
      <c r="S22" s="35"/>
      <c r="T22" s="35"/>
      <c r="U22" s="35"/>
      <c r="V22" s="35"/>
      <c r="W22" s="35"/>
      <c r="X22" s="35"/>
      <c r="Y22" s="35"/>
      <c r="Z22" s="35"/>
    </row>
    <row r="23" ht="22.5" customHeight="1">
      <c r="A23" s="48"/>
      <c r="B23" s="56"/>
      <c r="C23" s="41"/>
      <c r="D23" s="59" t="s">
        <v>55</v>
      </c>
      <c r="E23" s="51">
        <f t="shared" si="1"/>
        <v>0</v>
      </c>
      <c r="F23" s="52">
        <f>IFERROR(ROUND(E23 / Totals_8[$ Subtotal], 4), 0)
</f>
        <v>0</v>
      </c>
      <c r="G23" s="51">
        <f>IFERROR(F23*(Totals_8[$ Tax Amount]+Totals_8[$ Tip Amount]), 0)
</f>
        <v>0</v>
      </c>
      <c r="H23" s="51">
        <f t="shared" si="2"/>
        <v>0</v>
      </c>
      <c r="I23" s="54" t="b">
        <v>0</v>
      </c>
      <c r="J23" s="55" t="str">
        <f t="shared" si="3"/>
        <v/>
      </c>
      <c r="K23" s="35"/>
      <c r="L23" s="35"/>
      <c r="M23" s="35"/>
      <c r="N23" s="35"/>
      <c r="O23" s="35"/>
      <c r="P23" s="35"/>
      <c r="Q23" s="35"/>
      <c r="R23" s="35"/>
      <c r="S23" s="35"/>
      <c r="T23" s="35"/>
      <c r="U23" s="35"/>
      <c r="V23" s="35"/>
      <c r="W23" s="35"/>
      <c r="X23" s="35"/>
      <c r="Y23" s="35"/>
      <c r="Z23" s="35"/>
    </row>
    <row r="24" ht="22.5" customHeight="1">
      <c r="A24" s="58"/>
      <c r="B24" s="56"/>
      <c r="C24" s="57"/>
      <c r="D24" s="59" t="s">
        <v>55</v>
      </c>
      <c r="E24" s="51">
        <f t="shared" si="1"/>
        <v>0</v>
      </c>
      <c r="F24" s="52">
        <f>IFERROR(ROUND(E24 / Totals_8[$ Subtotal], 4), 0)
</f>
        <v>0</v>
      </c>
      <c r="G24" s="51">
        <f>IFERROR(F24*(Totals_8[$ Tax Amount]+Totals_8[$ Tip Amount]), 0)
</f>
        <v>0</v>
      </c>
      <c r="H24" s="51">
        <f t="shared" si="2"/>
        <v>0</v>
      </c>
      <c r="I24" s="54" t="b">
        <v>0</v>
      </c>
      <c r="J24" s="55" t="str">
        <f t="shared" si="3"/>
        <v/>
      </c>
      <c r="K24" s="35"/>
      <c r="L24" s="35"/>
      <c r="M24" s="35"/>
      <c r="N24" s="35"/>
      <c r="O24" s="35"/>
      <c r="P24" s="35"/>
      <c r="Q24" s="35"/>
      <c r="R24" s="35"/>
      <c r="S24" s="35"/>
      <c r="T24" s="35"/>
      <c r="U24" s="35"/>
      <c r="V24" s="35"/>
      <c r="W24" s="35"/>
      <c r="X24" s="35"/>
      <c r="Y24" s="35"/>
      <c r="Z24" s="35"/>
    </row>
    <row r="25" ht="22.5" customHeight="1">
      <c r="A25" s="58"/>
      <c r="B25" s="56"/>
      <c r="C25" s="57"/>
      <c r="D25" s="59" t="s">
        <v>55</v>
      </c>
      <c r="E25" s="51">
        <f t="shared" si="1"/>
        <v>0</v>
      </c>
      <c r="F25" s="52">
        <f>IFERROR(ROUND(E25 / Totals_8[$ Subtotal], 4), 0)
</f>
        <v>0</v>
      </c>
      <c r="G25" s="51">
        <f>IFERROR(F25*(Totals_8[$ Tax Amount]+Totals_8[$ Tip Amount]), 0)
</f>
        <v>0</v>
      </c>
      <c r="H25" s="51">
        <f t="shared" si="2"/>
        <v>0</v>
      </c>
      <c r="I25" s="54" t="b">
        <v>0</v>
      </c>
      <c r="J25" s="55" t="str">
        <f t="shared" si="3"/>
        <v/>
      </c>
      <c r="K25" s="35"/>
      <c r="L25" s="35"/>
      <c r="M25" s="35"/>
      <c r="N25" s="35"/>
      <c r="O25" s="35"/>
      <c r="P25" s="35"/>
      <c r="Q25" s="35"/>
      <c r="R25" s="35"/>
      <c r="S25" s="35"/>
      <c r="T25" s="35"/>
      <c r="U25" s="35"/>
      <c r="V25" s="35"/>
      <c r="W25" s="35"/>
      <c r="X25" s="35"/>
      <c r="Y25" s="35"/>
      <c r="Z25" s="35"/>
    </row>
    <row r="26" ht="22.5" customHeight="1">
      <c r="A26" s="58"/>
      <c r="B26" s="56"/>
      <c r="C26" s="57"/>
      <c r="D26" s="59" t="s">
        <v>55</v>
      </c>
      <c r="E26" s="51">
        <f t="shared" si="1"/>
        <v>0</v>
      </c>
      <c r="F26" s="52">
        <f>IFERROR(ROUND(E26 / Totals_8[$ Subtotal], 4), 0)
</f>
        <v>0</v>
      </c>
      <c r="G26" s="51">
        <f>IFERROR(F26*(Totals_8[$ Tax Amount]+Totals_8[$ Tip Amount]), 0)
</f>
        <v>0</v>
      </c>
      <c r="H26" s="51">
        <f t="shared" si="2"/>
        <v>0</v>
      </c>
      <c r="I26" s="54" t="b">
        <v>0</v>
      </c>
      <c r="J26" s="55" t="str">
        <f t="shared" si="3"/>
        <v/>
      </c>
      <c r="K26" s="35"/>
      <c r="L26" s="35"/>
      <c r="M26" s="35"/>
      <c r="N26" s="35"/>
      <c r="O26" s="35"/>
      <c r="P26" s="35"/>
      <c r="Q26" s="35"/>
      <c r="R26" s="35"/>
      <c r="S26" s="35"/>
      <c r="T26" s="35"/>
      <c r="U26" s="35"/>
      <c r="V26" s="35"/>
      <c r="W26" s="35"/>
      <c r="X26" s="35"/>
      <c r="Y26" s="35"/>
      <c r="Z26" s="35"/>
    </row>
    <row r="27" ht="22.5" customHeight="1">
      <c r="A27" s="58"/>
      <c r="B27" s="56"/>
      <c r="C27" s="57"/>
      <c r="D27" s="59" t="s">
        <v>55</v>
      </c>
      <c r="E27" s="51">
        <f t="shared" si="1"/>
        <v>0</v>
      </c>
      <c r="F27" s="52">
        <f>IFERROR(ROUND(E27 / Totals_8[$ Subtotal], 4), 0)
</f>
        <v>0</v>
      </c>
      <c r="G27" s="51">
        <f>IFERROR(F27*(Totals_8[$ Tax Amount]+Totals_8[$ Tip Amount]), 0)
</f>
        <v>0</v>
      </c>
      <c r="H27" s="51">
        <f t="shared" si="2"/>
        <v>0</v>
      </c>
      <c r="I27" s="54" t="b">
        <v>0</v>
      </c>
      <c r="J27" s="55" t="str">
        <f t="shared" si="3"/>
        <v/>
      </c>
      <c r="K27" s="35"/>
      <c r="L27" s="35"/>
      <c r="M27" s="35"/>
      <c r="N27" s="35"/>
      <c r="O27" s="35"/>
      <c r="P27" s="35"/>
      <c r="Q27" s="35"/>
      <c r="R27" s="35"/>
      <c r="S27" s="35"/>
      <c r="T27" s="35"/>
      <c r="U27" s="35"/>
      <c r="V27" s="35"/>
      <c r="W27" s="35"/>
      <c r="X27" s="35"/>
      <c r="Y27" s="35"/>
      <c r="Z27" s="35"/>
    </row>
  </sheetData>
  <conditionalFormatting sqref="D8:D27">
    <cfRule type="colorScale" priority="1">
      <colorScale>
        <cfvo type="min"/>
        <cfvo type="max"/>
        <color rgb="FFFFFFFF"/>
        <color rgb="FF57BB8A"/>
      </colorScale>
    </cfRule>
  </conditionalFormatting>
  <conditionalFormatting sqref="J8:J27">
    <cfRule type="expression" dxfId="7" priority="2">
      <formula>AND(I8=FALSE,E8&lt;&gt;0)</formula>
    </cfRule>
  </conditionalFormatting>
  <dataValidations>
    <dataValidation type="decimal" allowBlank="1" showDropDown="1" showInputMessage="1" prompt="Enter a tip percentage between 0 and 100" sqref="B1">
      <formula1>0.0</formula1>
      <formula2>100.0</formula2>
    </dataValidation>
    <dataValidation type="custom" allowBlank="1" showDropDown="1" sqref="B4:E4 C8:C27 E8:G27">
      <formula1>AND(ISNUMBER(B4),(NOT(OR(NOT(ISERROR(DATEVALUE(B4))), AND(ISNUMBER(B4), LEFT(CELL("format", B4))="D")))))</formula1>
    </dataValidation>
    <dataValidation type="list" allowBlank="1" sqref="D8:D27">
      <formula1>"N/A,Solo,Appetizer,Treated"</formula1>
    </dataValidation>
    <dataValidation allowBlank="1" showDropDown="1" sqref="B8:B27"/>
  </dataValidation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4.5"/>
    <col customWidth="1" min="2" max="2" width="13.88"/>
    <col customWidth="1" min="3" max="3" width="12.25"/>
    <col customWidth="1" min="4" max="4" width="14.25"/>
    <col customWidth="1" min="5" max="5" width="12.5"/>
    <col customWidth="1" min="6" max="6" width="14.75"/>
    <col customWidth="1" min="7" max="7" width="12.13"/>
    <col customWidth="1" min="8" max="8" width="10.13"/>
    <col customWidth="1" min="9" max="9" width="11.0"/>
    <col customWidth="1" min="10" max="10" width="22.25"/>
    <col customWidth="1" min="11" max="11" width="15.88"/>
  </cols>
  <sheetData>
    <row r="1" ht="57.0" customHeight="1">
      <c r="A1" s="33" t="s">
        <v>56</v>
      </c>
      <c r="B1" s="34"/>
      <c r="C1" s="35"/>
      <c r="D1" s="36"/>
      <c r="E1" s="35"/>
      <c r="F1" s="35"/>
      <c r="G1" s="35"/>
      <c r="H1" s="35"/>
      <c r="I1" s="35"/>
      <c r="J1" s="35"/>
      <c r="K1" s="35"/>
      <c r="L1" s="35"/>
      <c r="M1" s="35"/>
      <c r="N1" s="35"/>
      <c r="O1" s="35"/>
      <c r="P1" s="35"/>
      <c r="Q1" s="35"/>
      <c r="R1" s="35"/>
      <c r="S1" s="35"/>
      <c r="T1" s="35"/>
      <c r="U1" s="35"/>
      <c r="V1" s="35"/>
      <c r="W1" s="35"/>
      <c r="X1" s="35"/>
      <c r="Y1" s="35"/>
      <c r="Z1" s="35"/>
      <c r="AA1" s="35"/>
    </row>
    <row r="2" outlineLevel="1">
      <c r="A2" s="36" t="s">
        <v>29</v>
      </c>
      <c r="B2" s="37"/>
      <c r="C2" s="37"/>
      <c r="D2" s="37"/>
      <c r="E2" s="37"/>
      <c r="F2" s="35"/>
      <c r="G2" s="35"/>
      <c r="H2" s="35"/>
      <c r="I2" s="35"/>
      <c r="J2" s="35"/>
      <c r="K2" s="35"/>
      <c r="L2" s="35"/>
      <c r="M2" s="35"/>
      <c r="N2" s="35"/>
      <c r="O2" s="35"/>
      <c r="P2" s="35"/>
      <c r="Q2" s="35"/>
      <c r="R2" s="35"/>
      <c r="S2" s="35"/>
      <c r="T2" s="35"/>
      <c r="U2" s="35"/>
      <c r="V2" s="35"/>
      <c r="W2" s="35"/>
      <c r="X2" s="35"/>
      <c r="Y2" s="35"/>
      <c r="Z2" s="35"/>
      <c r="AA2" s="35"/>
    </row>
    <row r="3" ht="22.5" customHeight="1" outlineLevel="1">
      <c r="A3" s="38" t="s">
        <v>30</v>
      </c>
      <c r="B3" s="39" t="s">
        <v>31</v>
      </c>
      <c r="C3" s="39" t="s">
        <v>32</v>
      </c>
      <c r="D3" s="40" t="s">
        <v>33</v>
      </c>
      <c r="E3" s="39" t="s">
        <v>34</v>
      </c>
      <c r="F3" s="35"/>
      <c r="G3" s="35"/>
      <c r="H3" s="35"/>
      <c r="I3" s="35"/>
      <c r="J3" s="35"/>
      <c r="K3" s="35"/>
      <c r="L3" s="35"/>
      <c r="M3" s="35"/>
      <c r="N3" s="35"/>
      <c r="O3" s="35"/>
      <c r="P3" s="35"/>
      <c r="Q3" s="35"/>
      <c r="R3" s="35"/>
      <c r="S3" s="35"/>
      <c r="T3" s="35"/>
      <c r="U3" s="35"/>
      <c r="V3" s="35"/>
      <c r="W3" s="35"/>
      <c r="X3" s="35"/>
      <c r="Y3" s="35"/>
      <c r="Z3" s="35"/>
      <c r="AA3" s="35"/>
    </row>
    <row r="4" ht="22.5" customHeight="1" outlineLevel="1">
      <c r="A4" s="36" t="s">
        <v>35</v>
      </c>
      <c r="B4" s="41">
        <v>68.68</v>
      </c>
      <c r="C4" s="41">
        <v>36.6</v>
      </c>
      <c r="D4" s="42">
        <f>SUM(Food_Ordered_3[$ Dish Price])</f>
        <v>381.55</v>
      </c>
      <c r="E4" s="43">
        <f>ROUND(SUM(H:H),4)</f>
        <v>486.83</v>
      </c>
      <c r="F4" s="35"/>
      <c r="G4" s="35"/>
      <c r="H4" s="35"/>
      <c r="I4" s="35"/>
      <c r="J4" s="35"/>
      <c r="K4" s="35"/>
      <c r="L4" s="35"/>
      <c r="M4" s="35"/>
      <c r="N4" s="35"/>
      <c r="O4" s="35"/>
      <c r="P4" s="35"/>
      <c r="Q4" s="35"/>
      <c r="R4" s="35"/>
      <c r="S4" s="35"/>
      <c r="T4" s="35"/>
      <c r="U4" s="35"/>
      <c r="V4" s="35"/>
      <c r="W4" s="35"/>
      <c r="X4" s="35"/>
      <c r="Y4" s="35"/>
      <c r="Z4" s="35"/>
      <c r="AA4" s="35"/>
    </row>
    <row r="5" ht="22.5" customHeight="1">
      <c r="A5" s="36" t="s">
        <v>36</v>
      </c>
      <c r="B5" s="44" t="str">
        <f>IFERROR("("&amp;TEXT(SUM(Totals_3[$ Tax Amount]/Totals_3[$ Subtotal]),"#,##0.00%")&amp;")",0)</f>
        <v>(18.00%)</v>
      </c>
      <c r="C5" s="44" t="str">
        <f>IFERROR("("&amp;TEXT(SUM(Totals_3[$ Tip Amount]/Totals_3[$ Subtotal]),"#,##0.00%")&amp;")",0)</f>
        <v>(9.59%)</v>
      </c>
      <c r="D5" s="45"/>
      <c r="E5" s="45"/>
      <c r="F5" s="35"/>
      <c r="G5" s="35"/>
      <c r="H5" s="35"/>
      <c r="I5" s="35"/>
      <c r="J5" s="35"/>
      <c r="K5" s="35"/>
      <c r="L5" s="35"/>
      <c r="M5" s="35"/>
      <c r="N5" s="35"/>
      <c r="O5" s="35"/>
      <c r="P5" s="35"/>
      <c r="Q5" s="35"/>
      <c r="R5" s="35"/>
      <c r="S5" s="35"/>
      <c r="T5" s="35"/>
      <c r="U5" s="35"/>
      <c r="V5" s="35"/>
      <c r="W5" s="35"/>
      <c r="X5" s="35"/>
      <c r="Y5" s="35"/>
      <c r="Z5" s="35"/>
      <c r="AA5" s="35"/>
    </row>
    <row r="6">
      <c r="A6" s="35"/>
      <c r="B6" s="35"/>
      <c r="C6" s="35"/>
      <c r="D6" s="35"/>
      <c r="E6" s="35"/>
      <c r="F6" s="35"/>
      <c r="G6" s="36"/>
      <c r="H6" s="35"/>
      <c r="I6" s="35"/>
      <c r="J6" s="35"/>
      <c r="K6" s="35"/>
      <c r="L6" s="35"/>
      <c r="M6" s="35"/>
      <c r="N6" s="35"/>
      <c r="O6" s="35"/>
      <c r="P6" s="35"/>
      <c r="Q6" s="35"/>
      <c r="R6" s="35"/>
      <c r="S6" s="35"/>
      <c r="T6" s="35"/>
      <c r="U6" s="35"/>
      <c r="V6" s="35"/>
      <c r="W6" s="35"/>
      <c r="X6" s="35"/>
      <c r="Y6" s="35"/>
      <c r="Z6" s="35"/>
      <c r="AA6" s="35"/>
    </row>
    <row r="7" ht="22.5" customHeight="1">
      <c r="A7" s="46" t="s">
        <v>37</v>
      </c>
      <c r="B7" s="46" t="s">
        <v>38</v>
      </c>
      <c r="C7" s="46" t="s">
        <v>39</v>
      </c>
      <c r="D7" s="46" t="s">
        <v>40</v>
      </c>
      <c r="E7" s="46" t="s">
        <v>12</v>
      </c>
      <c r="F7" s="47" t="s">
        <v>14</v>
      </c>
      <c r="G7" s="39" t="s">
        <v>16</v>
      </c>
      <c r="H7" s="39" t="s">
        <v>18</v>
      </c>
      <c r="I7" s="39" t="s">
        <v>41</v>
      </c>
      <c r="J7" s="39" t="s">
        <v>20</v>
      </c>
      <c r="K7" s="35"/>
      <c r="L7" s="35"/>
      <c r="M7" s="35"/>
      <c r="N7" s="35"/>
      <c r="O7" s="35"/>
      <c r="P7" s="35"/>
      <c r="Q7" s="35"/>
      <c r="R7" s="35"/>
      <c r="S7" s="35"/>
      <c r="T7" s="35"/>
      <c r="U7" s="35"/>
      <c r="V7" s="35"/>
      <c r="W7" s="35"/>
      <c r="X7" s="35"/>
      <c r="Y7" s="35"/>
      <c r="Z7" s="35"/>
    </row>
    <row r="8" ht="22.5" customHeight="1">
      <c r="A8" s="48" t="s">
        <v>88</v>
      </c>
      <c r="B8" s="48" t="s">
        <v>89</v>
      </c>
      <c r="C8" s="61">
        <v>101.9</v>
      </c>
      <c r="D8" s="50" t="s">
        <v>44</v>
      </c>
      <c r="E8" s="51">
        <f t="shared" ref="E8:E17" si="1">IF(OR(D8="Appetizer", D8="Treated",D8="N/A"), 0, SUMIF(A$8:A17, A8, C$8:C17) + (SUMIF(D$8:D17, "Appetizer", C$8:C17) + SUMIF(D$8:D17, "Treated", C$8:C17)) / COUNTIF(D$8:D17, "Solo"))
</f>
        <v>101.9</v>
      </c>
      <c r="F8" s="52">
        <f>IFERROR(ROUND(E8 / Totals_3[$ Subtotal], 4), 0)
</f>
        <v>0.2671</v>
      </c>
      <c r="G8" s="53">
        <f>IFERROR(F8*(Totals_3[$ Tax Amount]+Totals_3[$ Tip Amount]), 0)
</f>
        <v>28.120288</v>
      </c>
      <c r="H8" s="51">
        <f t="shared" ref="H8:H17" si="2">E8+G8</f>
        <v>130.020288</v>
      </c>
      <c r="I8" s="54" t="b">
        <v>1</v>
      </c>
      <c r="J8" s="55" t="str">
        <f t="shared" ref="J8:J17" si="3">IF(E8=0,"",A8 &amp; " ($" &amp; TEXT(H8, "#,##0.00") &amp; ") " &amp; IF(I8=TRUE, "✅", "❌"))</f>
        <v>Sean, Atticus, Matthew, Dylan ($130.02) ✅</v>
      </c>
      <c r="K8" s="35"/>
      <c r="L8" s="35"/>
      <c r="M8" s="35"/>
      <c r="N8" s="35"/>
      <c r="O8" s="35"/>
      <c r="P8" s="35"/>
      <c r="Q8" s="35"/>
      <c r="R8" s="35"/>
      <c r="S8" s="35"/>
      <c r="T8" s="35"/>
      <c r="U8" s="35"/>
      <c r="V8" s="35"/>
      <c r="W8" s="35"/>
      <c r="X8" s="35"/>
      <c r="Y8" s="35"/>
      <c r="Z8" s="35"/>
    </row>
    <row r="9" ht="22.5" customHeight="1">
      <c r="A9" s="48" t="s">
        <v>90</v>
      </c>
      <c r="B9" s="48" t="s">
        <v>91</v>
      </c>
      <c r="C9" s="61">
        <v>48.95</v>
      </c>
      <c r="D9" s="50" t="s">
        <v>44</v>
      </c>
      <c r="E9" s="51">
        <f t="shared" si="1"/>
        <v>48.95</v>
      </c>
      <c r="F9" s="52">
        <f>IFERROR(ROUND(E9 / Totals_3[$ Subtotal], 4), 0)
</f>
        <v>0.1283</v>
      </c>
      <c r="G9" s="51">
        <f>IFERROR(F9*(Totals_3[$ Tax Amount]+Totals_3[$ Tip Amount]), 0)
</f>
        <v>13.507424</v>
      </c>
      <c r="H9" s="51">
        <f t="shared" si="2"/>
        <v>62.457424</v>
      </c>
      <c r="I9" s="54" t="b">
        <v>0</v>
      </c>
      <c r="J9" s="55" t="str">
        <f t="shared" si="3"/>
        <v>Arianna, Kelly ($62.46) ❌</v>
      </c>
      <c r="K9" s="35"/>
      <c r="L9" s="35"/>
      <c r="M9" s="35"/>
      <c r="N9" s="35"/>
      <c r="O9" s="35"/>
      <c r="P9" s="35"/>
      <c r="Q9" s="35"/>
      <c r="R9" s="35"/>
      <c r="S9" s="35"/>
      <c r="T9" s="35"/>
      <c r="U9" s="35"/>
      <c r="V9" s="35"/>
      <c r="W9" s="35"/>
      <c r="X9" s="35"/>
      <c r="Y9" s="35"/>
      <c r="Z9" s="35"/>
    </row>
    <row r="10" ht="22.5" customHeight="1">
      <c r="A10" s="48" t="s">
        <v>92</v>
      </c>
      <c r="B10" s="48" t="s">
        <v>93</v>
      </c>
      <c r="C10" s="61">
        <v>54.45</v>
      </c>
      <c r="D10" s="50" t="s">
        <v>44</v>
      </c>
      <c r="E10" s="51">
        <f t="shared" si="1"/>
        <v>54.45</v>
      </c>
      <c r="F10" s="52">
        <f>IFERROR(ROUND(E10 / Totals_3[$ Subtotal], 4), 0)
</f>
        <v>0.1427</v>
      </c>
      <c r="G10" s="53">
        <f>IFERROR(F10*(Totals_3[$ Tax Amount]+Totals_3[$ Tip Amount]), 0)
</f>
        <v>15.023456</v>
      </c>
      <c r="H10" s="51">
        <f t="shared" si="2"/>
        <v>69.473456</v>
      </c>
      <c r="I10" s="54" t="b">
        <v>0</v>
      </c>
      <c r="J10" s="55" t="str">
        <f t="shared" si="3"/>
        <v>Jodi and Abby ($69.47) ❌</v>
      </c>
      <c r="K10" s="35"/>
      <c r="L10" s="35"/>
      <c r="M10" s="35"/>
      <c r="N10" s="35"/>
      <c r="O10" s="35"/>
      <c r="P10" s="35"/>
      <c r="Q10" s="35"/>
      <c r="R10" s="35"/>
      <c r="S10" s="35"/>
      <c r="T10" s="35"/>
      <c r="U10" s="35"/>
      <c r="V10" s="35"/>
      <c r="W10" s="35"/>
      <c r="X10" s="35"/>
      <c r="Y10" s="35"/>
      <c r="Z10" s="35"/>
    </row>
    <row r="11" ht="22.5" customHeight="1">
      <c r="A11" s="48" t="s">
        <v>94</v>
      </c>
      <c r="B11" s="49" t="s">
        <v>95</v>
      </c>
      <c r="C11" s="61">
        <v>88.95</v>
      </c>
      <c r="D11" s="50" t="s">
        <v>44</v>
      </c>
      <c r="E11" s="51">
        <f t="shared" si="1"/>
        <v>88.95</v>
      </c>
      <c r="F11" s="52">
        <f>IFERROR(ROUND(E11 / Totals_3[$ Subtotal], 4), 0)
</f>
        <v>0.2331</v>
      </c>
      <c r="G11" s="51">
        <f>IFERROR(F11*(Totals_3[$ Tax Amount]+Totals_3[$ Tip Amount]), 0)
</f>
        <v>24.540768</v>
      </c>
      <c r="H11" s="51">
        <f t="shared" si="2"/>
        <v>113.490768</v>
      </c>
      <c r="I11" s="54" t="b">
        <v>0</v>
      </c>
      <c r="J11" s="55" t="str">
        <f t="shared" si="3"/>
        <v>Noelle, Trevor, Miggy ($113.49) ❌</v>
      </c>
      <c r="K11" s="35"/>
      <c r="L11" s="35"/>
      <c r="M11" s="35"/>
      <c r="N11" s="35"/>
      <c r="O11" s="35"/>
      <c r="P11" s="35"/>
      <c r="Q11" s="35"/>
      <c r="R11" s="35"/>
      <c r="S11" s="35"/>
      <c r="T11" s="35"/>
      <c r="U11" s="35"/>
      <c r="V11" s="35"/>
      <c r="W11" s="35"/>
      <c r="X11" s="35"/>
      <c r="Y11" s="35"/>
      <c r="Z11" s="35"/>
    </row>
    <row r="12" ht="22.5" customHeight="1">
      <c r="A12" s="48" t="s">
        <v>49</v>
      </c>
      <c r="B12" s="49" t="s">
        <v>96</v>
      </c>
      <c r="C12" s="61">
        <v>23.95</v>
      </c>
      <c r="D12" s="50" t="s">
        <v>44</v>
      </c>
      <c r="E12" s="51">
        <f t="shared" si="1"/>
        <v>23.95</v>
      </c>
      <c r="F12" s="52">
        <f>IFERROR(ROUND(E12 / Totals_3[$ Subtotal], 4), 0)
</f>
        <v>0.0628</v>
      </c>
      <c r="G12" s="51">
        <f>IFERROR(F12*(Totals_3[$ Tax Amount]+Totals_3[$ Tip Amount]), 0)
</f>
        <v>6.611584</v>
      </c>
      <c r="H12" s="51">
        <f t="shared" si="2"/>
        <v>30.561584</v>
      </c>
      <c r="I12" s="54" t="b">
        <v>0</v>
      </c>
      <c r="J12" s="55" t="str">
        <f t="shared" si="3"/>
        <v>Lennis ($30.56) ❌</v>
      </c>
      <c r="K12" s="35"/>
      <c r="L12" s="35"/>
      <c r="M12" s="35"/>
      <c r="N12" s="35"/>
      <c r="O12" s="35"/>
      <c r="P12" s="35"/>
      <c r="Q12" s="35"/>
      <c r="R12" s="35"/>
      <c r="S12" s="35"/>
      <c r="T12" s="35"/>
      <c r="U12" s="35"/>
      <c r="V12" s="35"/>
      <c r="W12" s="35"/>
      <c r="X12" s="35"/>
      <c r="Y12" s="35"/>
      <c r="Z12" s="35"/>
    </row>
    <row r="13" ht="22.5" customHeight="1">
      <c r="A13" s="48" t="s">
        <v>97</v>
      </c>
      <c r="B13" s="49" t="s">
        <v>98</v>
      </c>
      <c r="C13" s="61">
        <v>7.95</v>
      </c>
      <c r="D13" s="50" t="s">
        <v>44</v>
      </c>
      <c r="E13" s="51">
        <f t="shared" si="1"/>
        <v>7.95</v>
      </c>
      <c r="F13" s="52">
        <f>IFERROR(ROUND(E13 / Totals_3[$ Subtotal], 4), 0)
</f>
        <v>0.0208</v>
      </c>
      <c r="G13" s="51">
        <f>IFERROR(F13*(Totals_3[$ Tax Amount]+Totals_3[$ Tip Amount]), 0)
</f>
        <v>2.189824</v>
      </c>
      <c r="H13" s="51">
        <f t="shared" si="2"/>
        <v>10.139824</v>
      </c>
      <c r="I13" s="54" t="b">
        <v>0</v>
      </c>
      <c r="J13" s="55" t="str">
        <f t="shared" si="3"/>
        <v>Brendan ($10.14) ❌</v>
      </c>
      <c r="K13" s="35"/>
      <c r="L13" s="35"/>
      <c r="M13" s="35"/>
      <c r="N13" s="35"/>
      <c r="O13" s="35"/>
      <c r="P13" s="35"/>
      <c r="Q13" s="35"/>
      <c r="R13" s="35"/>
      <c r="S13" s="35"/>
      <c r="T13" s="35"/>
      <c r="U13" s="35"/>
      <c r="V13" s="35"/>
      <c r="W13" s="35"/>
      <c r="X13" s="35"/>
      <c r="Y13" s="35"/>
      <c r="Z13" s="35"/>
    </row>
    <row r="14" ht="22.5" customHeight="1">
      <c r="A14" s="48" t="s">
        <v>99</v>
      </c>
      <c r="B14" s="49" t="s">
        <v>100</v>
      </c>
      <c r="C14" s="61">
        <v>55.4</v>
      </c>
      <c r="D14" s="50" t="s">
        <v>44</v>
      </c>
      <c r="E14" s="51">
        <f t="shared" si="1"/>
        <v>55.4</v>
      </c>
      <c r="F14" s="52">
        <f>IFERROR(ROUND(E14 / Totals_3[$ Subtotal], 4), 0)
</f>
        <v>0.1452</v>
      </c>
      <c r="G14" s="51">
        <f>IFERROR(F14*(Totals_3[$ Tax Amount]+Totals_3[$ Tip Amount]), 0)
</f>
        <v>15.286656</v>
      </c>
      <c r="H14" s="51">
        <f t="shared" si="2"/>
        <v>70.686656</v>
      </c>
      <c r="I14" s="54" t="b">
        <v>0</v>
      </c>
      <c r="J14" s="55" t="str">
        <f t="shared" si="3"/>
        <v>Zach+Allison ($70.69) ❌</v>
      </c>
      <c r="K14" s="35"/>
      <c r="L14" s="35"/>
      <c r="M14" s="35"/>
      <c r="N14" s="35"/>
      <c r="O14" s="35"/>
      <c r="P14" s="35"/>
      <c r="Q14" s="35"/>
      <c r="R14" s="35"/>
      <c r="S14" s="35"/>
      <c r="T14" s="35"/>
      <c r="U14" s="35"/>
      <c r="V14" s="35"/>
      <c r="W14" s="35"/>
      <c r="X14" s="35"/>
      <c r="Y14" s="35"/>
      <c r="Z14" s="35"/>
    </row>
    <row r="15" ht="22.5" customHeight="1">
      <c r="A15" s="58"/>
      <c r="B15" s="56"/>
      <c r="C15" s="62"/>
      <c r="D15" s="50" t="s">
        <v>55</v>
      </c>
      <c r="E15" s="51">
        <f t="shared" si="1"/>
        <v>0</v>
      </c>
      <c r="F15" s="52">
        <f>IFERROR(ROUND(E15 / Totals_3[$ Subtotal], 4), 0)
</f>
        <v>0</v>
      </c>
      <c r="G15" s="51">
        <f>IFERROR(F15*(Totals_3[$ Tax Amount]+Totals_3[$ Tip Amount]), 0)
</f>
        <v>0</v>
      </c>
      <c r="H15" s="51">
        <f t="shared" si="2"/>
        <v>0</v>
      </c>
      <c r="I15" s="54" t="b">
        <v>0</v>
      </c>
      <c r="J15" s="55" t="str">
        <f t="shared" si="3"/>
        <v/>
      </c>
      <c r="K15" s="35"/>
      <c r="L15" s="35"/>
      <c r="M15" s="35"/>
      <c r="N15" s="35"/>
      <c r="O15" s="35"/>
      <c r="P15" s="35"/>
      <c r="Q15" s="35"/>
      <c r="R15" s="35"/>
      <c r="S15" s="35"/>
      <c r="T15" s="35"/>
      <c r="U15" s="35"/>
      <c r="V15" s="35"/>
      <c r="W15" s="35"/>
      <c r="X15" s="35"/>
      <c r="Y15" s="35"/>
      <c r="Z15" s="35"/>
    </row>
    <row r="16" ht="22.5" customHeight="1">
      <c r="A16" s="58"/>
      <c r="B16" s="56"/>
      <c r="C16" s="62"/>
      <c r="D16" s="50" t="s">
        <v>55</v>
      </c>
      <c r="E16" s="51">
        <f t="shared" si="1"/>
        <v>0</v>
      </c>
      <c r="F16" s="52">
        <f>IFERROR(ROUND(E16 / Totals_3[$ Subtotal], 4), 0)
</f>
        <v>0</v>
      </c>
      <c r="G16" s="51">
        <f>IFERROR(F16*(Totals_3[$ Tax Amount]+Totals_3[$ Tip Amount]), 0)
</f>
        <v>0</v>
      </c>
      <c r="H16" s="51">
        <f t="shared" si="2"/>
        <v>0</v>
      </c>
      <c r="I16" s="54" t="b">
        <v>0</v>
      </c>
      <c r="J16" s="55" t="str">
        <f t="shared" si="3"/>
        <v/>
      </c>
      <c r="K16" s="35"/>
      <c r="L16" s="35"/>
      <c r="M16" s="35"/>
      <c r="N16" s="35"/>
      <c r="O16" s="35"/>
      <c r="P16" s="35"/>
      <c r="Q16" s="35"/>
      <c r="R16" s="35"/>
      <c r="S16" s="35"/>
      <c r="T16" s="35"/>
      <c r="U16" s="35"/>
      <c r="V16" s="35"/>
      <c r="W16" s="35"/>
      <c r="X16" s="35"/>
      <c r="Y16" s="35"/>
      <c r="Z16" s="35"/>
    </row>
    <row r="17" ht="22.5" customHeight="1">
      <c r="A17" s="58"/>
      <c r="B17" s="56"/>
      <c r="C17" s="62"/>
      <c r="D17" s="50" t="s">
        <v>55</v>
      </c>
      <c r="E17" s="51">
        <f t="shared" si="1"/>
        <v>0</v>
      </c>
      <c r="F17" s="52">
        <f>IFERROR(ROUND(E17 / Totals_3[$ Subtotal], 4), 0)
</f>
        <v>0</v>
      </c>
      <c r="G17" s="51">
        <f>IFERROR(F17*(Totals_3[$ Tax Amount]+Totals_3[$ Tip Amount]), 0)
</f>
        <v>0</v>
      </c>
      <c r="H17" s="51">
        <f t="shared" si="2"/>
        <v>0</v>
      </c>
      <c r="I17" s="54" t="b">
        <v>0</v>
      </c>
      <c r="J17" s="55" t="str">
        <f t="shared" si="3"/>
        <v/>
      </c>
      <c r="K17" s="35"/>
      <c r="L17" s="35"/>
      <c r="M17" s="35"/>
      <c r="N17" s="35"/>
      <c r="O17" s="35"/>
      <c r="P17" s="35"/>
      <c r="Q17" s="35"/>
      <c r="R17" s="35"/>
      <c r="S17" s="35"/>
      <c r="T17" s="35"/>
      <c r="U17" s="35"/>
      <c r="V17" s="35"/>
      <c r="W17" s="35"/>
      <c r="X17" s="35"/>
      <c r="Y17" s="35"/>
      <c r="Z17" s="35"/>
    </row>
  </sheetData>
  <conditionalFormatting sqref="D8:D17">
    <cfRule type="colorScale" priority="1">
      <colorScale>
        <cfvo type="min"/>
        <cfvo type="max"/>
        <color rgb="FFFFFFFF"/>
        <color rgb="FF57BB8A"/>
      </colorScale>
    </cfRule>
  </conditionalFormatting>
  <conditionalFormatting sqref="J8:J17">
    <cfRule type="expression" dxfId="7" priority="2">
      <formula>AND(I8=FALSE,E8&lt;&gt;0)</formula>
    </cfRule>
  </conditionalFormatting>
  <dataValidations>
    <dataValidation type="decimal" allowBlank="1" showDropDown="1" showInputMessage="1" prompt="Enter a tip percentage between 0 and 100" sqref="B1">
      <formula1>0.0</formula1>
      <formula2>100.0</formula2>
    </dataValidation>
    <dataValidation type="custom" allowBlank="1" showDropDown="1" sqref="B4:E4 C8:C17 E8:G17">
      <formula1>AND(ISNUMBER(B4),(NOT(OR(NOT(ISERROR(DATEVALUE(B4))), AND(ISNUMBER(B4), LEFT(CELL("format", B4))="D")))))</formula1>
    </dataValidation>
    <dataValidation type="list" allowBlank="1" sqref="D8:D17">
      <formula1>"N/A,Solo,Appetizer,Treated"</formula1>
    </dataValidation>
    <dataValidation allowBlank="1" showDropDown="1" sqref="B8:B17"/>
  </dataValidations>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4.5"/>
    <col customWidth="1" min="2" max="2" width="13.88"/>
    <col customWidth="1" min="3" max="3" width="12.25"/>
    <col customWidth="1" min="4" max="4" width="14.25"/>
    <col customWidth="1" min="5" max="5" width="12.5"/>
    <col customWidth="1" min="6" max="6" width="14.75"/>
    <col customWidth="1" min="7" max="7" width="12.13"/>
    <col customWidth="1" min="8" max="8" width="10.13"/>
    <col customWidth="1" min="9" max="9" width="11.0"/>
    <col customWidth="1" min="10" max="10" width="25.38"/>
    <col customWidth="1" min="11" max="11" width="15.88"/>
  </cols>
  <sheetData>
    <row r="1" ht="57.0" customHeight="1">
      <c r="A1" s="33" t="s">
        <v>28</v>
      </c>
      <c r="B1" s="34"/>
      <c r="C1" s="35"/>
      <c r="D1" s="35"/>
      <c r="E1" s="35"/>
      <c r="F1" s="35"/>
      <c r="G1" s="35"/>
      <c r="H1" s="35"/>
      <c r="I1" s="35"/>
      <c r="J1" s="35"/>
      <c r="K1" s="35"/>
      <c r="L1" s="35"/>
      <c r="M1" s="35"/>
      <c r="N1" s="35"/>
      <c r="O1" s="35"/>
      <c r="P1" s="35"/>
      <c r="Q1" s="35"/>
      <c r="R1" s="35"/>
      <c r="S1" s="35"/>
      <c r="T1" s="35"/>
      <c r="U1" s="35"/>
      <c r="V1" s="35"/>
      <c r="W1" s="35"/>
      <c r="X1" s="35"/>
      <c r="Y1" s="35"/>
      <c r="Z1" s="35"/>
      <c r="AA1" s="35"/>
    </row>
    <row r="2" outlineLevel="1">
      <c r="A2" s="36" t="s">
        <v>29</v>
      </c>
      <c r="B2" s="37"/>
      <c r="C2" s="37"/>
      <c r="D2" s="37"/>
      <c r="E2" s="37"/>
      <c r="F2" s="35"/>
      <c r="G2" s="35"/>
      <c r="H2" s="35"/>
      <c r="I2" s="35"/>
      <c r="J2" s="35"/>
      <c r="K2" s="35"/>
      <c r="L2" s="35"/>
      <c r="M2" s="35"/>
      <c r="N2" s="35"/>
      <c r="O2" s="35"/>
      <c r="P2" s="35"/>
      <c r="Q2" s="35"/>
      <c r="R2" s="35"/>
      <c r="S2" s="35"/>
      <c r="T2" s="35"/>
      <c r="U2" s="35"/>
      <c r="V2" s="35"/>
      <c r="W2" s="35"/>
      <c r="X2" s="35"/>
      <c r="Y2" s="35"/>
      <c r="Z2" s="35"/>
      <c r="AA2" s="35"/>
    </row>
    <row r="3" ht="22.5" customHeight="1" outlineLevel="1">
      <c r="A3" s="38" t="s">
        <v>30</v>
      </c>
      <c r="B3" s="39" t="s">
        <v>31</v>
      </c>
      <c r="C3" s="39" t="s">
        <v>32</v>
      </c>
      <c r="D3" s="40" t="s">
        <v>33</v>
      </c>
      <c r="E3" s="39" t="s">
        <v>34</v>
      </c>
      <c r="F3" s="35"/>
      <c r="G3" s="35"/>
      <c r="H3" s="35"/>
      <c r="I3" s="35"/>
      <c r="J3" s="35"/>
      <c r="K3" s="35"/>
      <c r="L3" s="35"/>
      <c r="M3" s="35"/>
      <c r="N3" s="35"/>
      <c r="O3" s="35"/>
      <c r="P3" s="35"/>
      <c r="Q3" s="35"/>
      <c r="R3" s="35"/>
      <c r="S3" s="35"/>
      <c r="T3" s="35"/>
      <c r="U3" s="35"/>
      <c r="V3" s="35"/>
      <c r="W3" s="35"/>
      <c r="X3" s="35"/>
      <c r="Y3" s="35"/>
      <c r="Z3" s="35"/>
      <c r="AA3" s="35"/>
    </row>
    <row r="4" ht="22.5" customHeight="1" outlineLevel="1">
      <c r="A4" s="36" t="s">
        <v>35</v>
      </c>
      <c r="B4" s="41">
        <v>11.81</v>
      </c>
      <c r="C4" s="41">
        <v>20.93</v>
      </c>
      <c r="D4" s="42">
        <f>SUM(Food_Ordered_5[$ Dish Price])</f>
        <v>127.7</v>
      </c>
      <c r="E4" s="43">
        <f>ROUND(SUM(H:H),4)</f>
        <v>160.44</v>
      </c>
      <c r="F4" s="35"/>
      <c r="G4" s="35"/>
      <c r="H4" s="35"/>
      <c r="I4" s="35"/>
      <c r="J4" s="35"/>
      <c r="K4" s="35"/>
      <c r="L4" s="35"/>
      <c r="M4" s="35"/>
      <c r="N4" s="35"/>
      <c r="O4" s="35"/>
      <c r="P4" s="35"/>
      <c r="Q4" s="35"/>
      <c r="R4" s="35"/>
      <c r="S4" s="35"/>
      <c r="T4" s="35"/>
      <c r="U4" s="35"/>
      <c r="V4" s="35"/>
      <c r="W4" s="35"/>
      <c r="X4" s="35"/>
      <c r="Y4" s="35"/>
      <c r="Z4" s="35"/>
      <c r="AA4" s="35"/>
    </row>
    <row r="5" ht="22.5" customHeight="1">
      <c r="A5" s="36" t="s">
        <v>36</v>
      </c>
      <c r="B5" s="44" t="str">
        <f>"("&amp;TEXT(SUM(Totals_5[$ Tax Amount]/Totals_5[$ Subtotal]),"#,##0.00%")&amp;")"</f>
        <v>(9.25%)</v>
      </c>
      <c r="C5" s="44" t="str">
        <f>"("&amp;TEXT(SUM(Totals_5[$ Tip Amount]/Totals_5[$ Subtotal]),"#,##0.00%")&amp;")"</f>
        <v>(16.39%)</v>
      </c>
      <c r="D5" s="45"/>
      <c r="E5" s="45"/>
      <c r="F5" s="35"/>
      <c r="G5" s="35"/>
      <c r="H5" s="35"/>
      <c r="I5" s="35"/>
      <c r="J5" s="35"/>
      <c r="K5" s="35"/>
      <c r="L5" s="35"/>
      <c r="M5" s="35"/>
      <c r="N5" s="35"/>
      <c r="O5" s="35"/>
      <c r="P5" s="35"/>
      <c r="Q5" s="35"/>
      <c r="R5" s="35"/>
      <c r="S5" s="35"/>
      <c r="T5" s="35"/>
      <c r="U5" s="35"/>
      <c r="V5" s="35"/>
      <c r="W5" s="35"/>
      <c r="X5" s="35"/>
      <c r="Y5" s="35"/>
      <c r="Z5" s="35"/>
      <c r="AA5" s="35"/>
    </row>
    <row r="6">
      <c r="A6" s="35"/>
      <c r="B6" s="35"/>
      <c r="C6" s="35"/>
      <c r="D6" s="35"/>
      <c r="E6" s="35"/>
      <c r="F6" s="35"/>
      <c r="G6" s="36"/>
      <c r="H6" s="35"/>
      <c r="I6" s="35"/>
      <c r="J6" s="35"/>
      <c r="K6" s="35"/>
      <c r="L6" s="35"/>
      <c r="M6" s="35"/>
      <c r="N6" s="35"/>
      <c r="O6" s="35"/>
      <c r="P6" s="35"/>
      <c r="Q6" s="35"/>
      <c r="R6" s="35"/>
      <c r="S6" s="35"/>
      <c r="T6" s="35"/>
      <c r="U6" s="35"/>
      <c r="V6" s="35"/>
      <c r="W6" s="35"/>
      <c r="X6" s="35"/>
      <c r="Y6" s="35"/>
      <c r="Z6" s="35"/>
      <c r="AA6" s="35"/>
    </row>
    <row r="7" ht="22.5" customHeight="1">
      <c r="A7" s="46" t="s">
        <v>37</v>
      </c>
      <c r="B7" s="46" t="s">
        <v>38</v>
      </c>
      <c r="C7" s="46" t="s">
        <v>39</v>
      </c>
      <c r="D7" s="46" t="s">
        <v>40</v>
      </c>
      <c r="E7" s="46" t="s">
        <v>12</v>
      </c>
      <c r="F7" s="47" t="s">
        <v>14</v>
      </c>
      <c r="G7" s="39" t="s">
        <v>16</v>
      </c>
      <c r="H7" s="39" t="s">
        <v>18</v>
      </c>
      <c r="I7" s="39" t="s">
        <v>41</v>
      </c>
      <c r="J7" s="39" t="s">
        <v>20</v>
      </c>
      <c r="K7" s="35"/>
      <c r="L7" s="35"/>
      <c r="M7" s="35"/>
      <c r="N7" s="35"/>
      <c r="O7" s="35"/>
      <c r="P7" s="35"/>
      <c r="Q7" s="35"/>
      <c r="R7" s="35"/>
      <c r="S7" s="35"/>
      <c r="T7" s="35"/>
      <c r="U7" s="35"/>
      <c r="V7" s="35"/>
      <c r="W7" s="35"/>
      <c r="X7" s="35"/>
      <c r="Y7" s="35"/>
      <c r="Z7" s="35"/>
    </row>
    <row r="8" ht="22.5" customHeight="1">
      <c r="A8" s="48"/>
      <c r="B8" s="49" t="s">
        <v>101</v>
      </c>
      <c r="C8" s="41">
        <v>25.95</v>
      </c>
      <c r="D8" s="50" t="s">
        <v>54</v>
      </c>
      <c r="E8" s="51">
        <f t="shared" ref="E8:E22" si="1">IF(OR(D8="Appetizer", D8="Treated",D8="N/A"), 0, SUMIF(A$8:A22, A8, C$8:C22) + (SUMIF(D$8:D22, "Appetizer", C$8:C22) + SUMIF(D$8:D22, "Treated", C$8:C22)) / COUNTIF(D$8:D22, "Solo"))
</f>
        <v>0</v>
      </c>
      <c r="F8" s="52">
        <f>IFERROR(ROUND(E8 / Totals_5[$ Subtotal], 4), 0)
</f>
        <v>0</v>
      </c>
      <c r="G8" s="53">
        <f>IFERROR(F8*(Totals_5[$ Tax Amount]+Totals_5[$ Tip Amount]), 0)
</f>
        <v>0</v>
      </c>
      <c r="H8" s="51">
        <f t="shared" ref="H8:H22" si="2">E8+G8</f>
        <v>0</v>
      </c>
      <c r="I8" s="54" t="b">
        <v>0</v>
      </c>
      <c r="J8" s="55" t="str">
        <f t="shared" ref="J8:J22" si="3">IF(E8=0,"",A8 &amp; " ($" &amp; TEXT(H8, "#,##0.00") &amp; ") " &amp; IF(I8=TRUE, "✅", "❌"))</f>
        <v/>
      </c>
      <c r="K8" s="35"/>
      <c r="L8" s="35"/>
      <c r="M8" s="35"/>
      <c r="N8" s="35"/>
      <c r="O8" s="35"/>
      <c r="P8" s="35"/>
      <c r="Q8" s="35"/>
      <c r="R8" s="35"/>
      <c r="S8" s="35"/>
      <c r="T8" s="35"/>
      <c r="U8" s="35"/>
      <c r="V8" s="35"/>
      <c r="W8" s="35"/>
      <c r="X8" s="35"/>
      <c r="Y8" s="35"/>
      <c r="Z8" s="35"/>
    </row>
    <row r="9" ht="22.5" customHeight="1">
      <c r="A9" s="48"/>
      <c r="B9" s="49" t="s">
        <v>102</v>
      </c>
      <c r="C9" s="41">
        <v>16.95</v>
      </c>
      <c r="D9" s="50" t="s">
        <v>54</v>
      </c>
      <c r="E9" s="51">
        <f t="shared" si="1"/>
        <v>0</v>
      </c>
      <c r="F9" s="52">
        <f>IFERROR(ROUND(E9 / Totals_5[$ Subtotal], 4), 0)
</f>
        <v>0</v>
      </c>
      <c r="G9" s="51">
        <f>IFERROR(F9*(Totals_5[$ Tax Amount]+Totals_5[$ Tip Amount]), 0)
</f>
        <v>0</v>
      </c>
      <c r="H9" s="51">
        <f t="shared" si="2"/>
        <v>0</v>
      </c>
      <c r="I9" s="54" t="b">
        <v>0</v>
      </c>
      <c r="J9" s="55" t="str">
        <f t="shared" si="3"/>
        <v/>
      </c>
      <c r="K9" s="35"/>
      <c r="L9" s="35"/>
      <c r="M9" s="35"/>
      <c r="N9" s="35"/>
      <c r="O9" s="35"/>
      <c r="P9" s="35"/>
      <c r="Q9" s="35"/>
      <c r="R9" s="35"/>
      <c r="S9" s="35"/>
      <c r="T9" s="35"/>
      <c r="U9" s="35"/>
      <c r="V9" s="35"/>
      <c r="W9" s="35"/>
      <c r="X9" s="35"/>
      <c r="Y9" s="35"/>
      <c r="Z9" s="35"/>
    </row>
    <row r="10" ht="22.5" customHeight="1">
      <c r="A10" s="48"/>
      <c r="B10" s="49" t="s">
        <v>103</v>
      </c>
      <c r="C10" s="41">
        <v>15.95</v>
      </c>
      <c r="D10" s="50" t="s">
        <v>54</v>
      </c>
      <c r="E10" s="51">
        <f t="shared" si="1"/>
        <v>0</v>
      </c>
      <c r="F10" s="52">
        <f>IFERROR(ROUND(E10 / Totals_5[$ Subtotal], 4), 0)
</f>
        <v>0</v>
      </c>
      <c r="G10" s="53">
        <f>IFERROR(F10*(Totals_5[$ Tax Amount]+Totals_5[$ Tip Amount]), 0)
</f>
        <v>0</v>
      </c>
      <c r="H10" s="51">
        <f t="shared" si="2"/>
        <v>0</v>
      </c>
      <c r="I10" s="54" t="b">
        <v>0</v>
      </c>
      <c r="J10" s="55" t="str">
        <f t="shared" si="3"/>
        <v/>
      </c>
      <c r="K10" s="35"/>
      <c r="L10" s="35"/>
      <c r="M10" s="35"/>
      <c r="N10" s="35"/>
      <c r="O10" s="35"/>
      <c r="P10" s="35"/>
      <c r="Q10" s="35"/>
      <c r="R10" s="35"/>
      <c r="S10" s="35"/>
      <c r="T10" s="35"/>
      <c r="U10" s="35"/>
      <c r="V10" s="35"/>
      <c r="W10" s="35"/>
      <c r="X10" s="35"/>
      <c r="Y10" s="35"/>
      <c r="Z10" s="35"/>
    </row>
    <row r="11" ht="22.5" customHeight="1">
      <c r="A11" s="48"/>
      <c r="B11" s="49" t="s">
        <v>104</v>
      </c>
      <c r="C11" s="41">
        <v>14.95</v>
      </c>
      <c r="D11" s="50" t="s">
        <v>54</v>
      </c>
      <c r="E11" s="51">
        <f t="shared" si="1"/>
        <v>0</v>
      </c>
      <c r="F11" s="52">
        <f>IFERROR(ROUND(E11 / Totals_5[$ Subtotal], 4), 0)
</f>
        <v>0</v>
      </c>
      <c r="G11" s="51">
        <f>IFERROR(F11*(Totals_5[$ Tax Amount]+Totals_5[$ Tip Amount]), 0)
</f>
        <v>0</v>
      </c>
      <c r="H11" s="51">
        <f t="shared" si="2"/>
        <v>0</v>
      </c>
      <c r="I11" s="54" t="b">
        <v>0</v>
      </c>
      <c r="J11" s="55" t="str">
        <f t="shared" si="3"/>
        <v/>
      </c>
      <c r="K11" s="35"/>
      <c r="L11" s="35"/>
      <c r="M11" s="35"/>
      <c r="N11" s="35"/>
      <c r="O11" s="35"/>
      <c r="P11" s="35"/>
      <c r="Q11" s="35"/>
      <c r="R11" s="35"/>
      <c r="S11" s="35"/>
      <c r="T11" s="35"/>
      <c r="U11" s="35"/>
      <c r="V11" s="35"/>
      <c r="W11" s="35"/>
      <c r="X11" s="35"/>
      <c r="Y11" s="35"/>
      <c r="Z11" s="35"/>
    </row>
    <row r="12" ht="22.5" customHeight="1">
      <c r="A12" s="48"/>
      <c r="B12" s="49" t="s">
        <v>105</v>
      </c>
      <c r="C12" s="41">
        <v>14.95</v>
      </c>
      <c r="D12" s="50" t="s">
        <v>54</v>
      </c>
      <c r="E12" s="51">
        <f t="shared" si="1"/>
        <v>0</v>
      </c>
      <c r="F12" s="52">
        <f>IFERROR(ROUND(E12 / Totals_5[$ Subtotal], 4), 0)
</f>
        <v>0</v>
      </c>
      <c r="G12" s="51">
        <f>IFERROR(F12*(Totals_5[$ Tax Amount]+Totals_5[$ Tip Amount]), 0)
</f>
        <v>0</v>
      </c>
      <c r="H12" s="51">
        <f t="shared" si="2"/>
        <v>0</v>
      </c>
      <c r="I12" s="54" t="b">
        <v>0</v>
      </c>
      <c r="J12" s="55" t="str">
        <f t="shared" si="3"/>
        <v/>
      </c>
      <c r="K12" s="35"/>
      <c r="L12" s="35"/>
      <c r="M12" s="35"/>
      <c r="N12" s="35"/>
      <c r="O12" s="35"/>
      <c r="P12" s="35"/>
      <c r="Q12" s="35"/>
      <c r="R12" s="35"/>
      <c r="S12" s="35"/>
      <c r="T12" s="35"/>
      <c r="U12" s="35"/>
      <c r="V12" s="35"/>
      <c r="W12" s="35"/>
      <c r="X12" s="35"/>
      <c r="Y12" s="35"/>
      <c r="Z12" s="35"/>
    </row>
    <row r="13" ht="22.5" customHeight="1">
      <c r="A13" s="48"/>
      <c r="B13" s="49" t="s">
        <v>106</v>
      </c>
      <c r="C13" s="41">
        <v>16.95</v>
      </c>
      <c r="D13" s="50" t="s">
        <v>54</v>
      </c>
      <c r="E13" s="51">
        <f t="shared" si="1"/>
        <v>0</v>
      </c>
      <c r="F13" s="52">
        <f>IFERROR(ROUND(E13 / Totals_5[$ Subtotal], 4), 0)
</f>
        <v>0</v>
      </c>
      <c r="G13" s="51">
        <f>IFERROR(F13*(Totals_5[$ Tax Amount]+Totals_5[$ Tip Amount]), 0)
</f>
        <v>0</v>
      </c>
      <c r="H13" s="51">
        <f t="shared" si="2"/>
        <v>0</v>
      </c>
      <c r="I13" s="54" t="b">
        <v>0</v>
      </c>
      <c r="J13" s="55" t="str">
        <f t="shared" si="3"/>
        <v/>
      </c>
      <c r="K13" s="35"/>
      <c r="L13" s="35"/>
      <c r="M13" s="35"/>
      <c r="N13" s="35"/>
      <c r="O13" s="35"/>
      <c r="P13" s="35"/>
      <c r="Q13" s="35"/>
      <c r="R13" s="35"/>
      <c r="S13" s="35"/>
      <c r="T13" s="35"/>
      <c r="U13" s="35"/>
      <c r="V13" s="35"/>
      <c r="W13" s="35"/>
      <c r="X13" s="35"/>
      <c r="Y13" s="35"/>
      <c r="Z13" s="35"/>
    </row>
    <row r="14" ht="22.5" customHeight="1">
      <c r="A14" s="48"/>
      <c r="B14" s="49" t="s">
        <v>107</v>
      </c>
      <c r="C14" s="41">
        <v>12.5</v>
      </c>
      <c r="D14" s="50" t="s">
        <v>54</v>
      </c>
      <c r="E14" s="51">
        <f t="shared" si="1"/>
        <v>0</v>
      </c>
      <c r="F14" s="52">
        <f>IFERROR(ROUND(E14 / Totals_5[$ Subtotal], 4), 0)
</f>
        <v>0</v>
      </c>
      <c r="G14" s="51">
        <f>IFERROR(F14*(Totals_5[$ Tax Amount]+Totals_5[$ Tip Amount]), 0)
</f>
        <v>0</v>
      </c>
      <c r="H14" s="51">
        <f t="shared" si="2"/>
        <v>0</v>
      </c>
      <c r="I14" s="54" t="b">
        <v>0</v>
      </c>
      <c r="J14" s="55" t="str">
        <f t="shared" si="3"/>
        <v/>
      </c>
      <c r="K14" s="35"/>
      <c r="L14" s="35"/>
      <c r="M14" s="35"/>
      <c r="N14" s="35"/>
      <c r="O14" s="35"/>
      <c r="P14" s="35"/>
      <c r="Q14" s="35"/>
      <c r="R14" s="35"/>
      <c r="S14" s="35"/>
      <c r="T14" s="35"/>
      <c r="U14" s="35"/>
      <c r="V14" s="35"/>
      <c r="W14" s="35"/>
      <c r="X14" s="35"/>
      <c r="Y14" s="35"/>
      <c r="Z14" s="35"/>
    </row>
    <row r="15" ht="22.5" customHeight="1">
      <c r="A15" s="48" t="s">
        <v>108</v>
      </c>
      <c r="B15" s="49" t="s">
        <v>109</v>
      </c>
      <c r="C15" s="41">
        <v>4.5</v>
      </c>
      <c r="D15" s="50" t="s">
        <v>44</v>
      </c>
      <c r="E15" s="51">
        <f t="shared" si="1"/>
        <v>19.275</v>
      </c>
      <c r="F15" s="52">
        <f>IFERROR(ROUND(E15 / Totals_5[$ Subtotal], 4), 0)
</f>
        <v>0.1509</v>
      </c>
      <c r="G15" s="51">
        <f>IFERROR(F15*(Totals_5[$ Tax Amount]+Totals_5[$ Tip Amount]), 0)
</f>
        <v>4.940466</v>
      </c>
      <c r="H15" s="51">
        <f t="shared" si="2"/>
        <v>24.215466</v>
      </c>
      <c r="I15" s="54" t="b">
        <v>0</v>
      </c>
      <c r="J15" s="55" t="str">
        <f t="shared" si="3"/>
        <v>Michael (YoyoMa) ($24.22) ❌</v>
      </c>
      <c r="K15" s="35"/>
      <c r="L15" s="35"/>
      <c r="M15" s="35"/>
      <c r="N15" s="35"/>
      <c r="O15" s="35"/>
      <c r="P15" s="35"/>
      <c r="Q15" s="35"/>
      <c r="R15" s="35"/>
      <c r="S15" s="35"/>
      <c r="T15" s="35"/>
      <c r="U15" s="35"/>
      <c r="V15" s="35"/>
      <c r="W15" s="35"/>
      <c r="X15" s="35"/>
      <c r="Y15" s="35"/>
      <c r="Z15" s="35"/>
    </row>
    <row r="16" ht="22.5" customHeight="1">
      <c r="A16" s="48" t="s">
        <v>110</v>
      </c>
      <c r="B16" s="49" t="s">
        <v>111</v>
      </c>
      <c r="C16" s="41">
        <v>5.0</v>
      </c>
      <c r="D16" s="50" t="s">
        <v>44</v>
      </c>
      <c r="E16" s="51">
        <f t="shared" si="1"/>
        <v>19.775</v>
      </c>
      <c r="F16" s="52">
        <f>IFERROR(ROUND(E16 / Totals_5[$ Subtotal], 4), 0)
</f>
        <v>0.1549</v>
      </c>
      <c r="G16" s="51">
        <f>IFERROR(F16*(Totals_5[$ Tax Amount]+Totals_5[$ Tip Amount]), 0)
</f>
        <v>5.071426</v>
      </c>
      <c r="H16" s="51">
        <f t="shared" si="2"/>
        <v>24.846426</v>
      </c>
      <c r="I16" s="54" t="b">
        <v>0</v>
      </c>
      <c r="J16" s="55" t="str">
        <f t="shared" si="3"/>
        <v>Michael ($24.85) ❌</v>
      </c>
      <c r="K16" s="35"/>
      <c r="L16" s="35"/>
      <c r="M16" s="35"/>
      <c r="N16" s="35"/>
      <c r="O16" s="35"/>
      <c r="P16" s="35"/>
      <c r="Q16" s="35"/>
      <c r="R16" s="35"/>
      <c r="S16" s="35"/>
      <c r="T16" s="35"/>
      <c r="U16" s="35"/>
      <c r="V16" s="35"/>
      <c r="W16" s="35"/>
      <c r="X16" s="35"/>
      <c r="Y16" s="35"/>
      <c r="Z16" s="35"/>
    </row>
    <row r="17" ht="22.5" customHeight="1">
      <c r="A17" s="48" t="s">
        <v>112</v>
      </c>
      <c r="B17" s="56"/>
      <c r="C17" s="57"/>
      <c r="D17" s="50" t="s">
        <v>44</v>
      </c>
      <c r="E17" s="51">
        <f t="shared" si="1"/>
        <v>14.775</v>
      </c>
      <c r="F17" s="52">
        <f>IFERROR(ROUND(E17 / Totals_5[$ Subtotal], 4), 0)
</f>
        <v>0.1157</v>
      </c>
      <c r="G17" s="51">
        <f>IFERROR(F17*(Totals_5[$ Tax Amount]+Totals_5[$ Tip Amount]), 0)
</f>
        <v>3.788018</v>
      </c>
      <c r="H17" s="51">
        <f t="shared" si="2"/>
        <v>18.563018</v>
      </c>
      <c r="I17" s="54" t="b">
        <v>0</v>
      </c>
      <c r="J17" s="55" t="str">
        <f t="shared" si="3"/>
        <v>Kelly Li ($18.56) ❌</v>
      </c>
      <c r="K17" s="35"/>
      <c r="L17" s="35"/>
      <c r="M17" s="35"/>
      <c r="N17" s="35"/>
      <c r="O17" s="35"/>
      <c r="P17" s="35"/>
      <c r="Q17" s="35"/>
      <c r="R17" s="35"/>
      <c r="S17" s="35"/>
      <c r="T17" s="35"/>
      <c r="U17" s="35"/>
      <c r="V17" s="35"/>
      <c r="W17" s="35"/>
      <c r="X17" s="35"/>
      <c r="Y17" s="35"/>
      <c r="Z17" s="35"/>
    </row>
    <row r="18" ht="22.5" customHeight="1">
      <c r="A18" s="48" t="s">
        <v>113</v>
      </c>
      <c r="B18" s="56"/>
      <c r="C18" s="57"/>
      <c r="D18" s="50" t="s">
        <v>44</v>
      </c>
      <c r="E18" s="51">
        <f t="shared" si="1"/>
        <v>14.775</v>
      </c>
      <c r="F18" s="52">
        <f>IFERROR(ROUND(E18 / Totals_5[$ Subtotal], 4), 0)
</f>
        <v>0.1157</v>
      </c>
      <c r="G18" s="51">
        <f>IFERROR(F18*(Totals_5[$ Tax Amount]+Totals_5[$ Tip Amount]), 0)
</f>
        <v>3.788018</v>
      </c>
      <c r="H18" s="51">
        <f t="shared" si="2"/>
        <v>18.563018</v>
      </c>
      <c r="I18" s="54" t="b">
        <v>0</v>
      </c>
      <c r="J18" s="55" t="str">
        <f t="shared" si="3"/>
        <v>Kelly Deng ($18.56) ❌</v>
      </c>
      <c r="K18" s="35"/>
      <c r="L18" s="35"/>
      <c r="M18" s="35"/>
      <c r="N18" s="35"/>
      <c r="O18" s="35"/>
      <c r="P18" s="35"/>
      <c r="Q18" s="35"/>
      <c r="R18" s="35"/>
      <c r="S18" s="35"/>
      <c r="T18" s="35"/>
      <c r="U18" s="35"/>
      <c r="V18" s="35"/>
      <c r="W18" s="35"/>
      <c r="X18" s="35"/>
      <c r="Y18" s="35"/>
      <c r="Z18" s="35"/>
    </row>
    <row r="19" ht="22.5" customHeight="1">
      <c r="A19" s="48" t="s">
        <v>114</v>
      </c>
      <c r="B19" s="56"/>
      <c r="C19" s="57"/>
      <c r="D19" s="50" t="s">
        <v>44</v>
      </c>
      <c r="E19" s="51">
        <f t="shared" si="1"/>
        <v>14.775</v>
      </c>
      <c r="F19" s="52">
        <f>IFERROR(ROUND(E19 / Totals_5[$ Subtotal], 4), 0)
</f>
        <v>0.1157</v>
      </c>
      <c r="G19" s="51">
        <f>IFERROR(F19*(Totals_5[$ Tax Amount]+Totals_5[$ Tip Amount]), 0)
</f>
        <v>3.788018</v>
      </c>
      <c r="H19" s="51">
        <f t="shared" si="2"/>
        <v>18.563018</v>
      </c>
      <c r="I19" s="54" t="b">
        <v>0</v>
      </c>
      <c r="J19" s="55" t="str">
        <f t="shared" si="3"/>
        <v>Abigail  ($18.56) ❌</v>
      </c>
      <c r="K19" s="35"/>
      <c r="L19" s="35"/>
      <c r="M19" s="35"/>
      <c r="N19" s="35"/>
      <c r="O19" s="35"/>
      <c r="P19" s="35"/>
      <c r="Q19" s="35"/>
      <c r="R19" s="35"/>
      <c r="S19" s="35"/>
      <c r="T19" s="35"/>
      <c r="U19" s="35"/>
      <c r="V19" s="35"/>
      <c r="W19" s="35"/>
      <c r="X19" s="35"/>
      <c r="Y19" s="35"/>
      <c r="Z19" s="35"/>
    </row>
    <row r="20" ht="22.5" customHeight="1">
      <c r="A20" s="48" t="s">
        <v>115</v>
      </c>
      <c r="B20" s="56"/>
      <c r="C20" s="57"/>
      <c r="D20" s="50" t="s">
        <v>44</v>
      </c>
      <c r="E20" s="51">
        <f t="shared" si="1"/>
        <v>14.775</v>
      </c>
      <c r="F20" s="52">
        <f>IFERROR(ROUND(E20 / Totals_5[$ Subtotal], 4), 0)
</f>
        <v>0.1157</v>
      </c>
      <c r="G20" s="51">
        <f>IFERROR(F20*(Totals_5[$ Tax Amount]+Totals_5[$ Tip Amount]), 0)
</f>
        <v>3.788018</v>
      </c>
      <c r="H20" s="51">
        <f t="shared" si="2"/>
        <v>18.563018</v>
      </c>
      <c r="I20" s="54" t="b">
        <v>0</v>
      </c>
      <c r="J20" s="55" t="str">
        <f t="shared" si="3"/>
        <v>Miwa ($18.56) ❌</v>
      </c>
      <c r="K20" s="35"/>
      <c r="L20" s="35"/>
      <c r="M20" s="35"/>
      <c r="N20" s="35"/>
      <c r="O20" s="35"/>
      <c r="P20" s="35"/>
      <c r="Q20" s="35"/>
      <c r="R20" s="35"/>
      <c r="S20" s="35"/>
      <c r="T20" s="35"/>
      <c r="U20" s="35"/>
      <c r="V20" s="35"/>
      <c r="W20" s="35"/>
      <c r="X20" s="35"/>
      <c r="Y20" s="35"/>
      <c r="Z20" s="35"/>
    </row>
    <row r="21" ht="22.5" customHeight="1">
      <c r="A21" s="48" t="s">
        <v>116</v>
      </c>
      <c r="B21" s="56"/>
      <c r="C21" s="57"/>
      <c r="D21" s="50" t="s">
        <v>44</v>
      </c>
      <c r="E21" s="51">
        <f t="shared" si="1"/>
        <v>14.775</v>
      </c>
      <c r="F21" s="52">
        <f>IFERROR(ROUND(E21 / Totals_5[$ Subtotal], 4), 0)
</f>
        <v>0.1157</v>
      </c>
      <c r="G21" s="51">
        <f>IFERROR(F21*(Totals_5[$ Tax Amount]+Totals_5[$ Tip Amount]), 0)
</f>
        <v>3.788018</v>
      </c>
      <c r="H21" s="51">
        <f t="shared" si="2"/>
        <v>18.563018</v>
      </c>
      <c r="I21" s="54" t="b">
        <v>0</v>
      </c>
      <c r="J21" s="55" t="str">
        <f t="shared" si="3"/>
        <v>Miguel  ($18.56) ❌</v>
      </c>
      <c r="K21" s="35"/>
      <c r="L21" s="35"/>
      <c r="M21" s="35"/>
      <c r="N21" s="35"/>
      <c r="O21" s="35"/>
      <c r="P21" s="35"/>
      <c r="Q21" s="35"/>
      <c r="R21" s="35"/>
      <c r="S21" s="35"/>
      <c r="T21" s="35"/>
      <c r="U21" s="35"/>
      <c r="V21" s="35"/>
      <c r="W21" s="35"/>
      <c r="X21" s="35"/>
      <c r="Y21" s="35"/>
      <c r="Z21" s="35"/>
    </row>
    <row r="22" ht="22.5" customHeight="1">
      <c r="A22" s="48" t="s">
        <v>42</v>
      </c>
      <c r="B22" s="56"/>
      <c r="C22" s="57"/>
      <c r="D22" s="50" t="s">
        <v>44</v>
      </c>
      <c r="E22" s="51">
        <f t="shared" si="1"/>
        <v>14.775</v>
      </c>
      <c r="F22" s="52">
        <f>IFERROR(ROUND(E22 / Totals_5[$ Subtotal], 4), 0)
</f>
        <v>0.1157</v>
      </c>
      <c r="G22" s="51">
        <f>IFERROR(F22*(Totals_5[$ Tax Amount]+Totals_5[$ Tip Amount]), 0)
</f>
        <v>3.788018</v>
      </c>
      <c r="H22" s="51">
        <f t="shared" si="2"/>
        <v>18.563018</v>
      </c>
      <c r="I22" s="54" t="b">
        <v>0</v>
      </c>
      <c r="J22" s="55" t="str">
        <f t="shared" si="3"/>
        <v>Matt ($18.56) ❌</v>
      </c>
      <c r="K22" s="35"/>
      <c r="L22" s="35"/>
      <c r="M22" s="35"/>
      <c r="N22" s="35"/>
      <c r="O22" s="35"/>
      <c r="P22" s="35"/>
      <c r="Q22" s="35"/>
      <c r="R22" s="35"/>
      <c r="S22" s="35"/>
      <c r="T22" s="35"/>
      <c r="U22" s="35"/>
      <c r="V22" s="35"/>
      <c r="W22" s="35"/>
      <c r="X22" s="35"/>
      <c r="Y22" s="35"/>
      <c r="Z22" s="35"/>
    </row>
  </sheetData>
  <conditionalFormatting sqref="D8:D22">
    <cfRule type="colorScale" priority="1">
      <colorScale>
        <cfvo type="min"/>
        <cfvo type="max"/>
        <color rgb="FFFFFFFF"/>
        <color rgb="FF57BB8A"/>
      </colorScale>
    </cfRule>
  </conditionalFormatting>
  <conditionalFormatting sqref="J8:J22">
    <cfRule type="expression" dxfId="7" priority="2">
      <formula>AND(I8=FALSE,E8&lt;&gt;0)</formula>
    </cfRule>
  </conditionalFormatting>
  <dataValidations>
    <dataValidation type="decimal" allowBlank="1" showDropDown="1" showInputMessage="1" prompt="Enter a tip percentage between 0 and 100" sqref="B1">
      <formula1>0.0</formula1>
      <formula2>100.0</formula2>
    </dataValidation>
    <dataValidation type="custom" allowBlank="1" showDropDown="1" sqref="B4:E4 C8:C22 E8:G22">
      <formula1>AND(ISNUMBER(B4),(NOT(OR(NOT(ISERROR(DATEVALUE(B4))), AND(ISNUMBER(B4), LEFT(CELL("format", B4))="D")))))</formula1>
    </dataValidation>
    <dataValidation type="list" allowBlank="1" sqref="D8:D22">
      <formula1>"N/A,Solo,Appetizer,Treated"</formula1>
    </dataValidation>
    <dataValidation allowBlank="1" showDropDown="1" sqref="B8:B22"/>
  </dataValidations>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4.5"/>
    <col customWidth="1" min="2" max="2" width="13.88"/>
    <col customWidth="1" min="3" max="3" width="12.25"/>
    <col customWidth="1" min="4" max="4" width="14.25"/>
    <col customWidth="1" min="5" max="5" width="12.5"/>
    <col customWidth="1" min="6" max="6" width="14.75"/>
    <col customWidth="1" min="7" max="7" width="12.13"/>
    <col customWidth="1" min="8" max="8" width="10.13"/>
    <col customWidth="1" min="9" max="9" width="11.0"/>
    <col customWidth="1" min="10" max="10" width="22.25"/>
    <col customWidth="1" min="11" max="11" width="15.88"/>
  </cols>
  <sheetData>
    <row r="1" ht="57.0" customHeight="1">
      <c r="A1" s="33" t="s">
        <v>56</v>
      </c>
      <c r="B1" s="34"/>
      <c r="C1" s="35"/>
      <c r="D1" s="35"/>
      <c r="E1" s="35"/>
      <c r="F1" s="35"/>
      <c r="G1" s="35"/>
      <c r="H1" s="35"/>
      <c r="I1" s="35"/>
      <c r="J1" s="35"/>
      <c r="K1" s="35"/>
      <c r="L1" s="35"/>
      <c r="M1" s="35"/>
      <c r="N1" s="35"/>
      <c r="O1" s="35"/>
      <c r="P1" s="35"/>
      <c r="Q1" s="35"/>
      <c r="R1" s="35"/>
      <c r="S1" s="35"/>
      <c r="T1" s="35"/>
      <c r="U1" s="35"/>
      <c r="V1" s="35"/>
      <c r="W1" s="35"/>
      <c r="X1" s="35"/>
      <c r="Y1" s="35"/>
      <c r="Z1" s="35"/>
      <c r="AA1" s="35"/>
    </row>
    <row r="2" outlineLevel="1">
      <c r="A2" s="36" t="s">
        <v>29</v>
      </c>
      <c r="B2" s="37"/>
      <c r="C2" s="37"/>
      <c r="D2" s="37"/>
      <c r="E2" s="37"/>
      <c r="F2" s="35"/>
      <c r="G2" s="35"/>
      <c r="H2" s="35"/>
      <c r="I2" s="35"/>
      <c r="J2" s="35"/>
      <c r="K2" s="35"/>
      <c r="L2" s="35"/>
      <c r="M2" s="35"/>
      <c r="N2" s="35"/>
      <c r="O2" s="35"/>
      <c r="P2" s="35"/>
      <c r="Q2" s="35"/>
      <c r="R2" s="35"/>
      <c r="S2" s="35"/>
      <c r="T2" s="35"/>
      <c r="U2" s="35"/>
      <c r="V2" s="35"/>
      <c r="W2" s="35"/>
      <c r="X2" s="35"/>
      <c r="Y2" s="35"/>
      <c r="Z2" s="35"/>
      <c r="AA2" s="35"/>
    </row>
    <row r="3" ht="22.5" customHeight="1" outlineLevel="1">
      <c r="A3" s="38" t="s">
        <v>30</v>
      </c>
      <c r="B3" s="39" t="s">
        <v>31</v>
      </c>
      <c r="C3" s="39" t="s">
        <v>32</v>
      </c>
      <c r="D3" s="40" t="s">
        <v>33</v>
      </c>
      <c r="E3" s="39" t="s">
        <v>34</v>
      </c>
      <c r="F3" s="35"/>
      <c r="G3" s="35"/>
      <c r="H3" s="35"/>
      <c r="I3" s="35"/>
      <c r="J3" s="35"/>
      <c r="K3" s="35"/>
      <c r="L3" s="35"/>
      <c r="M3" s="35"/>
      <c r="N3" s="35"/>
      <c r="O3" s="35"/>
      <c r="P3" s="35"/>
      <c r="Q3" s="35"/>
      <c r="R3" s="35"/>
      <c r="S3" s="35"/>
      <c r="T3" s="35"/>
      <c r="U3" s="35"/>
      <c r="V3" s="35"/>
      <c r="W3" s="35"/>
      <c r="X3" s="35"/>
      <c r="Y3" s="35"/>
      <c r="Z3" s="35"/>
      <c r="AA3" s="35"/>
    </row>
    <row r="4" ht="22.5" customHeight="1" outlineLevel="1">
      <c r="A4" s="36" t="s">
        <v>35</v>
      </c>
      <c r="B4" s="41">
        <v>13.84</v>
      </c>
      <c r="C4" s="41">
        <v>29.0</v>
      </c>
      <c r="D4" s="42">
        <f>SUM(Food_Ordered_4[$ Dish Price])</f>
        <v>178.49</v>
      </c>
      <c r="E4" s="43">
        <f>ROUND(SUM(H:H),4)</f>
        <v>221.3343</v>
      </c>
      <c r="F4" s="35"/>
      <c r="G4" s="35"/>
      <c r="H4" s="35"/>
      <c r="I4" s="35"/>
      <c r="J4" s="35"/>
      <c r="K4" s="35"/>
      <c r="L4" s="35"/>
      <c r="M4" s="35"/>
      <c r="N4" s="35"/>
      <c r="O4" s="35"/>
      <c r="P4" s="35"/>
      <c r="Q4" s="35"/>
      <c r="R4" s="35"/>
      <c r="S4" s="35"/>
      <c r="T4" s="35"/>
      <c r="U4" s="35"/>
      <c r="V4" s="35"/>
      <c r="W4" s="35"/>
      <c r="X4" s="35"/>
      <c r="Y4" s="35"/>
      <c r="Z4" s="35"/>
      <c r="AA4" s="35"/>
    </row>
    <row r="5" ht="22.5" customHeight="1">
      <c r="A5" s="36" t="s">
        <v>36</v>
      </c>
      <c r="B5" s="44" t="str">
        <f>IFERROR("("&amp;TEXT(SUM(Totals_4[$ Tax Amount]/Totals_4[$ Subtotal]),"#,##0.00%")&amp;")",0)</f>
        <v>(7.75%)</v>
      </c>
      <c r="C5" s="44" t="str">
        <f>IFERROR("("&amp;TEXT(SUM(Totals_4[$ Tip Amount]/Totals_4[$ Subtotal]),"#,##0.00%")&amp;")",0)</f>
        <v>(16.25%)</v>
      </c>
      <c r="D5" s="45"/>
      <c r="E5" s="45"/>
      <c r="F5" s="35"/>
      <c r="G5" s="35"/>
      <c r="H5" s="35"/>
      <c r="I5" s="35"/>
      <c r="J5" s="35"/>
      <c r="K5" s="35"/>
      <c r="L5" s="35"/>
      <c r="M5" s="35"/>
      <c r="N5" s="35"/>
      <c r="O5" s="35"/>
      <c r="P5" s="35"/>
      <c r="Q5" s="35"/>
      <c r="R5" s="35"/>
      <c r="S5" s="35"/>
      <c r="T5" s="35"/>
      <c r="U5" s="35"/>
      <c r="V5" s="35"/>
      <c r="W5" s="35"/>
      <c r="X5" s="35"/>
      <c r="Y5" s="35"/>
      <c r="Z5" s="35"/>
      <c r="AA5" s="35"/>
    </row>
    <row r="6">
      <c r="A6" s="35"/>
      <c r="B6" s="35"/>
      <c r="C6" s="35"/>
      <c r="D6" s="35"/>
      <c r="E6" s="35"/>
      <c r="F6" s="35"/>
      <c r="G6" s="36"/>
      <c r="H6" s="35"/>
      <c r="I6" s="35"/>
      <c r="J6" s="35"/>
      <c r="K6" s="35"/>
      <c r="L6" s="35"/>
      <c r="M6" s="35"/>
      <c r="N6" s="35"/>
      <c r="O6" s="35"/>
      <c r="P6" s="35"/>
      <c r="Q6" s="35"/>
      <c r="R6" s="35"/>
      <c r="S6" s="35"/>
      <c r="T6" s="35"/>
      <c r="U6" s="35"/>
      <c r="V6" s="35"/>
      <c r="W6" s="35"/>
      <c r="X6" s="35"/>
      <c r="Y6" s="35"/>
      <c r="Z6" s="35"/>
      <c r="AA6" s="35"/>
    </row>
    <row r="7" ht="22.5" customHeight="1">
      <c r="A7" s="46" t="s">
        <v>37</v>
      </c>
      <c r="B7" s="46" t="s">
        <v>38</v>
      </c>
      <c r="C7" s="46" t="s">
        <v>39</v>
      </c>
      <c r="D7" s="46" t="s">
        <v>40</v>
      </c>
      <c r="E7" s="46" t="s">
        <v>12</v>
      </c>
      <c r="F7" s="47" t="s">
        <v>14</v>
      </c>
      <c r="G7" s="39" t="s">
        <v>16</v>
      </c>
      <c r="H7" s="39" t="s">
        <v>18</v>
      </c>
      <c r="I7" s="39" t="s">
        <v>41</v>
      </c>
      <c r="J7" s="39" t="s">
        <v>20</v>
      </c>
      <c r="K7" s="35"/>
      <c r="L7" s="35"/>
      <c r="M7" s="35"/>
      <c r="N7" s="35"/>
      <c r="O7" s="35"/>
      <c r="P7" s="35"/>
      <c r="Q7" s="35"/>
      <c r="R7" s="35"/>
      <c r="S7" s="35"/>
      <c r="T7" s="35"/>
      <c r="U7" s="35"/>
      <c r="V7" s="35"/>
      <c r="W7" s="35"/>
      <c r="X7" s="35"/>
      <c r="Y7" s="35"/>
      <c r="Z7" s="35"/>
    </row>
    <row r="8" ht="22.5" customHeight="1">
      <c r="A8" s="48" t="s">
        <v>117</v>
      </c>
      <c r="B8" s="49" t="s">
        <v>118</v>
      </c>
      <c r="C8" s="41">
        <v>25.99</v>
      </c>
      <c r="D8" s="59" t="s">
        <v>44</v>
      </c>
      <c r="E8" s="51">
        <f t="shared" ref="E8:E27" si="1">IF(OR(D8="Appetizer", D8="Treated",D8="N/A"), 0, SUMIF(A$8:A27, A8, C$8:C27) + (SUMIF(D$8:D27, "Appetizer", C$8:C27) + SUMIF(D$8:D27, "Treated", C$8:C27)) / COUNTIF(D$8:D27, "Solo"))
</f>
        <v>25.99</v>
      </c>
      <c r="F8" s="52">
        <f>IFERROR(ROUND(E8 / Totals_4[$ Subtotal], 4), 0)
</f>
        <v>0.1456</v>
      </c>
      <c r="G8" s="53">
        <f>IFERROR(F8*(Totals_4[$ Tax Amount]+Totals_4[$ Tip Amount]), 0)
</f>
        <v>6.237504</v>
      </c>
      <c r="H8" s="51">
        <f t="shared" ref="H8:H27" si="2">E8+G8</f>
        <v>32.227504</v>
      </c>
      <c r="I8" s="54" t="b">
        <v>0</v>
      </c>
      <c r="J8" s="55" t="str">
        <f t="shared" ref="J8:J27" si="3">IF(E8=0,"",A8 &amp; " ($" &amp; TEXT(H8, "#,##0.00") &amp; ") " &amp; IF(I8=TRUE, "✅", "❌"))</f>
        <v>Brian ($32.23) ❌</v>
      </c>
      <c r="K8" s="35"/>
      <c r="L8" s="35"/>
      <c r="M8" s="35"/>
      <c r="N8" s="35"/>
      <c r="O8" s="35"/>
      <c r="P8" s="35"/>
      <c r="Q8" s="35"/>
      <c r="R8" s="35"/>
      <c r="S8" s="35"/>
      <c r="T8" s="35"/>
      <c r="U8" s="35"/>
      <c r="V8" s="35"/>
      <c r="W8" s="35"/>
      <c r="X8" s="35"/>
      <c r="Y8" s="35"/>
      <c r="Z8" s="35"/>
    </row>
    <row r="9" ht="22.5" customHeight="1">
      <c r="A9" s="48" t="s">
        <v>119</v>
      </c>
      <c r="B9" s="49" t="s">
        <v>120</v>
      </c>
      <c r="C9" s="41">
        <v>18.79</v>
      </c>
      <c r="D9" s="59" t="s">
        <v>44</v>
      </c>
      <c r="E9" s="51">
        <f t="shared" si="1"/>
        <v>58.57</v>
      </c>
      <c r="F9" s="52">
        <f>IFERROR(ROUND(E9 / Totals_4[$ Subtotal], 4), 0)
</f>
        <v>0.3281</v>
      </c>
      <c r="G9" s="51">
        <f>IFERROR(F9*(Totals_4[$ Tax Amount]+Totals_4[$ Tip Amount]), 0)
</f>
        <v>14.055804</v>
      </c>
      <c r="H9" s="51">
        <f t="shared" si="2"/>
        <v>72.625804</v>
      </c>
      <c r="I9" s="54" t="b">
        <v>0</v>
      </c>
      <c r="J9" s="55" t="str">
        <f t="shared" si="3"/>
        <v>Sunny, Kev, Jasper, Matt ($72.63) ❌</v>
      </c>
      <c r="K9" s="35"/>
      <c r="L9" s="35"/>
      <c r="M9" s="35"/>
      <c r="N9" s="35"/>
      <c r="O9" s="35"/>
      <c r="P9" s="35"/>
      <c r="Q9" s="35"/>
      <c r="R9" s="35"/>
      <c r="S9" s="35"/>
      <c r="T9" s="35"/>
      <c r="U9" s="35"/>
      <c r="V9" s="35"/>
      <c r="W9" s="35"/>
      <c r="X9" s="35"/>
      <c r="Y9" s="35"/>
      <c r="Z9" s="35"/>
    </row>
    <row r="10" ht="22.5" customHeight="1">
      <c r="A10" s="48" t="s">
        <v>119</v>
      </c>
      <c r="B10" s="49" t="s">
        <v>120</v>
      </c>
      <c r="C10" s="41">
        <v>18.79</v>
      </c>
      <c r="D10" s="59" t="s">
        <v>55</v>
      </c>
      <c r="E10" s="51">
        <f t="shared" si="1"/>
        <v>0</v>
      </c>
      <c r="F10" s="52">
        <f>IFERROR(ROUND(E10 / Totals_4[$ Subtotal], 4), 0)
</f>
        <v>0</v>
      </c>
      <c r="G10" s="53">
        <f>IFERROR(F10*(Totals_4[$ Tax Amount]+Totals_4[$ Tip Amount]), 0)
</f>
        <v>0</v>
      </c>
      <c r="H10" s="51">
        <f t="shared" si="2"/>
        <v>0</v>
      </c>
      <c r="I10" s="54" t="b">
        <v>0</v>
      </c>
      <c r="J10" s="55" t="str">
        <f t="shared" si="3"/>
        <v/>
      </c>
      <c r="K10" s="35"/>
      <c r="L10" s="35"/>
      <c r="M10" s="35"/>
      <c r="N10" s="35"/>
      <c r="O10" s="35"/>
      <c r="P10" s="35"/>
      <c r="Q10" s="35"/>
      <c r="R10" s="35"/>
      <c r="S10" s="35"/>
      <c r="T10" s="35"/>
      <c r="U10" s="35"/>
      <c r="V10" s="35"/>
      <c r="W10" s="35"/>
      <c r="X10" s="35"/>
      <c r="Y10" s="35"/>
      <c r="Z10" s="35"/>
    </row>
    <row r="11" ht="22.5" customHeight="1">
      <c r="A11" s="48" t="s">
        <v>121</v>
      </c>
      <c r="B11" s="49" t="s">
        <v>122</v>
      </c>
      <c r="C11" s="41">
        <v>6.0</v>
      </c>
      <c r="D11" s="59" t="s">
        <v>44</v>
      </c>
      <c r="E11" s="51">
        <f t="shared" si="1"/>
        <v>6</v>
      </c>
      <c r="F11" s="52">
        <f>IFERROR(ROUND(E11 / Totals_4[$ Subtotal], 4), 0)
</f>
        <v>0.0336</v>
      </c>
      <c r="G11" s="51">
        <f>IFERROR(F11*(Totals_4[$ Tax Amount]+Totals_4[$ Tip Amount]), 0)
</f>
        <v>1.439424</v>
      </c>
      <c r="H11" s="51">
        <f t="shared" si="2"/>
        <v>7.439424</v>
      </c>
      <c r="I11" s="54" t="b">
        <v>0</v>
      </c>
      <c r="J11" s="55" t="str">
        <f t="shared" si="3"/>
        <v>jasper ($7.44) ❌</v>
      </c>
      <c r="K11" s="35"/>
      <c r="L11" s="35"/>
      <c r="M11" s="35"/>
      <c r="N11" s="35"/>
      <c r="O11" s="35"/>
      <c r="P11" s="35"/>
      <c r="Q11" s="35"/>
      <c r="R11" s="35"/>
      <c r="S11" s="35"/>
      <c r="T11" s="35"/>
      <c r="U11" s="35"/>
      <c r="V11" s="35"/>
      <c r="W11" s="35"/>
      <c r="X11" s="35"/>
      <c r="Y11" s="35"/>
      <c r="Z11" s="35"/>
    </row>
    <row r="12" ht="22.5" customHeight="1">
      <c r="A12" s="48" t="s">
        <v>119</v>
      </c>
      <c r="B12" s="49" t="s">
        <v>123</v>
      </c>
      <c r="C12" s="41">
        <v>6.0</v>
      </c>
      <c r="D12" s="59" t="s">
        <v>55</v>
      </c>
      <c r="E12" s="51">
        <f t="shared" si="1"/>
        <v>0</v>
      </c>
      <c r="F12" s="52">
        <f>IFERROR(ROUND(E12 / Totals_4[$ Subtotal], 4), 0)
</f>
        <v>0</v>
      </c>
      <c r="G12" s="51">
        <f>IFERROR(F12*(Totals_4[$ Tax Amount]+Totals_4[$ Tip Amount]), 0)
</f>
        <v>0</v>
      </c>
      <c r="H12" s="51">
        <f t="shared" si="2"/>
        <v>0</v>
      </c>
      <c r="I12" s="54" t="b">
        <v>0</v>
      </c>
      <c r="J12" s="55" t="str">
        <f t="shared" si="3"/>
        <v/>
      </c>
      <c r="K12" s="35"/>
      <c r="L12" s="35"/>
      <c r="M12" s="35"/>
      <c r="N12" s="35"/>
      <c r="O12" s="35"/>
      <c r="P12" s="35"/>
      <c r="Q12" s="35"/>
      <c r="R12" s="35"/>
      <c r="S12" s="35"/>
      <c r="T12" s="35"/>
      <c r="U12" s="35"/>
      <c r="V12" s="35"/>
      <c r="W12" s="35"/>
      <c r="X12" s="35"/>
      <c r="Y12" s="35"/>
      <c r="Z12" s="35"/>
    </row>
    <row r="13" ht="22.5" customHeight="1">
      <c r="A13" s="48" t="s">
        <v>119</v>
      </c>
      <c r="B13" s="49" t="s">
        <v>124</v>
      </c>
      <c r="C13" s="41">
        <v>14.99</v>
      </c>
      <c r="D13" s="59" t="s">
        <v>55</v>
      </c>
      <c r="E13" s="51">
        <f t="shared" si="1"/>
        <v>0</v>
      </c>
      <c r="F13" s="52">
        <f>IFERROR(ROUND(E13 / Totals_4[$ Subtotal], 4), 0)
</f>
        <v>0</v>
      </c>
      <c r="G13" s="51">
        <f>IFERROR(F13*(Totals_4[$ Tax Amount]+Totals_4[$ Tip Amount]), 0)
</f>
        <v>0</v>
      </c>
      <c r="H13" s="51">
        <f t="shared" si="2"/>
        <v>0</v>
      </c>
      <c r="I13" s="54" t="b">
        <v>0</v>
      </c>
      <c r="J13" s="55" t="str">
        <f t="shared" si="3"/>
        <v/>
      </c>
      <c r="K13" s="35"/>
      <c r="L13" s="35"/>
      <c r="M13" s="35"/>
      <c r="N13" s="35"/>
      <c r="O13" s="35"/>
      <c r="P13" s="35"/>
      <c r="Q13" s="35"/>
      <c r="R13" s="35"/>
      <c r="S13" s="35"/>
      <c r="T13" s="35"/>
      <c r="U13" s="35"/>
      <c r="V13" s="35"/>
      <c r="W13" s="35"/>
      <c r="X13" s="35"/>
      <c r="Y13" s="35"/>
      <c r="Z13" s="35"/>
    </row>
    <row r="14" ht="22.5" customHeight="1">
      <c r="A14" s="48" t="s">
        <v>125</v>
      </c>
      <c r="B14" s="49" t="s">
        <v>124</v>
      </c>
      <c r="C14" s="41">
        <v>10.99</v>
      </c>
      <c r="D14" s="59" t="s">
        <v>44</v>
      </c>
      <c r="E14" s="51">
        <f t="shared" si="1"/>
        <v>10.99</v>
      </c>
      <c r="F14" s="52">
        <f>IFERROR(ROUND(E14 / Totals_4[$ Subtotal], 4), 0)
</f>
        <v>0.0616</v>
      </c>
      <c r="G14" s="51">
        <f>IFERROR(F14*(Totals_4[$ Tax Amount]+Totals_4[$ Tip Amount]), 0)
</f>
        <v>2.638944</v>
      </c>
      <c r="H14" s="51">
        <f t="shared" si="2"/>
        <v>13.628944</v>
      </c>
      <c r="I14" s="54" t="b">
        <v>0</v>
      </c>
      <c r="J14" s="55" t="str">
        <f t="shared" si="3"/>
        <v>Seth ($13.63) ❌</v>
      </c>
      <c r="K14" s="35"/>
      <c r="L14" s="35"/>
      <c r="M14" s="35"/>
      <c r="N14" s="35"/>
      <c r="O14" s="35"/>
      <c r="P14" s="35"/>
      <c r="Q14" s="35"/>
      <c r="R14" s="35"/>
      <c r="S14" s="35"/>
      <c r="T14" s="35"/>
      <c r="U14" s="35"/>
      <c r="V14" s="35"/>
      <c r="W14" s="35"/>
      <c r="X14" s="35"/>
      <c r="Y14" s="35"/>
      <c r="Z14" s="35"/>
    </row>
    <row r="15" ht="22.5" customHeight="1">
      <c r="A15" s="48" t="s">
        <v>126</v>
      </c>
      <c r="B15" s="49" t="s">
        <v>124</v>
      </c>
      <c r="C15" s="41">
        <v>10.99</v>
      </c>
      <c r="D15" s="59" t="s">
        <v>44</v>
      </c>
      <c r="E15" s="51">
        <f t="shared" si="1"/>
        <v>10.99</v>
      </c>
      <c r="F15" s="52">
        <f>IFERROR(ROUND(E15 / Totals_4[$ Subtotal], 4), 0)
</f>
        <v>0.0616</v>
      </c>
      <c r="G15" s="51">
        <f>IFERROR(F15*(Totals_4[$ Tax Amount]+Totals_4[$ Tip Amount]), 0)
</f>
        <v>2.638944</v>
      </c>
      <c r="H15" s="51">
        <f t="shared" si="2"/>
        <v>13.628944</v>
      </c>
      <c r="I15" s="54" t="b">
        <v>0</v>
      </c>
      <c r="J15" s="55" t="str">
        <f t="shared" si="3"/>
        <v>Rachel ($13.63) ❌</v>
      </c>
      <c r="K15" s="35"/>
      <c r="L15" s="35"/>
      <c r="M15" s="35"/>
      <c r="N15" s="35"/>
      <c r="O15" s="35"/>
      <c r="P15" s="35"/>
      <c r="Q15" s="35"/>
      <c r="R15" s="35"/>
      <c r="S15" s="35"/>
      <c r="T15" s="35"/>
      <c r="U15" s="35"/>
      <c r="V15" s="35"/>
      <c r="W15" s="35"/>
      <c r="X15" s="35"/>
      <c r="Y15" s="35"/>
      <c r="Z15" s="35"/>
    </row>
    <row r="16" ht="22.5" customHeight="1">
      <c r="A16" s="48" t="s">
        <v>127</v>
      </c>
      <c r="B16" s="49" t="s">
        <v>124</v>
      </c>
      <c r="C16" s="41">
        <v>10.99</v>
      </c>
      <c r="D16" s="59" t="s">
        <v>44</v>
      </c>
      <c r="E16" s="51">
        <f t="shared" si="1"/>
        <v>10.99</v>
      </c>
      <c r="F16" s="52">
        <f>IFERROR(ROUND(E16 / Totals_4[$ Subtotal], 4), 0)
</f>
        <v>0.0616</v>
      </c>
      <c r="G16" s="51">
        <f>IFERROR(F16*(Totals_4[$ Tax Amount]+Totals_4[$ Tip Amount]), 0)
</f>
        <v>2.638944</v>
      </c>
      <c r="H16" s="51">
        <f t="shared" si="2"/>
        <v>13.628944</v>
      </c>
      <c r="I16" s="54" t="b">
        <v>0</v>
      </c>
      <c r="J16" s="55" t="str">
        <f t="shared" si="3"/>
        <v>Alex ($13.63) ❌</v>
      </c>
      <c r="K16" s="35"/>
      <c r="L16" s="35"/>
      <c r="M16" s="35"/>
      <c r="N16" s="35"/>
      <c r="O16" s="35"/>
      <c r="P16" s="35"/>
      <c r="Q16" s="35"/>
      <c r="R16" s="35"/>
      <c r="S16" s="35"/>
      <c r="T16" s="35"/>
      <c r="U16" s="35"/>
      <c r="V16" s="35"/>
      <c r="W16" s="35"/>
      <c r="X16" s="35"/>
      <c r="Y16" s="35"/>
      <c r="Z16" s="35"/>
    </row>
    <row r="17" ht="22.5" customHeight="1">
      <c r="A17" s="48" t="s">
        <v>128</v>
      </c>
      <c r="B17" s="49" t="s">
        <v>124</v>
      </c>
      <c r="C17" s="41">
        <v>12.99</v>
      </c>
      <c r="D17" s="59" t="s">
        <v>44</v>
      </c>
      <c r="E17" s="51">
        <f t="shared" si="1"/>
        <v>12.99</v>
      </c>
      <c r="F17" s="52">
        <f>IFERROR(ROUND(E17 / Totals_4[$ Subtotal], 4), 0)
</f>
        <v>0.0728</v>
      </c>
      <c r="G17" s="51">
        <f>IFERROR(F17*(Totals_4[$ Tax Amount]+Totals_4[$ Tip Amount]), 0)
</f>
        <v>3.118752</v>
      </c>
      <c r="H17" s="51">
        <f t="shared" si="2"/>
        <v>16.108752</v>
      </c>
      <c r="I17" s="54" t="b">
        <v>0</v>
      </c>
      <c r="J17" s="55" t="str">
        <f t="shared" si="3"/>
        <v>Abby ($16.11) ❌</v>
      </c>
      <c r="K17" s="35"/>
      <c r="L17" s="35"/>
      <c r="M17" s="35"/>
      <c r="N17" s="35"/>
      <c r="O17" s="35"/>
      <c r="P17" s="35"/>
      <c r="Q17" s="35"/>
      <c r="R17" s="35"/>
      <c r="S17" s="35"/>
      <c r="T17" s="35"/>
      <c r="U17" s="35"/>
      <c r="V17" s="35"/>
      <c r="W17" s="35"/>
      <c r="X17" s="35"/>
      <c r="Y17" s="35"/>
      <c r="Z17" s="35"/>
    </row>
    <row r="18" ht="22.5" customHeight="1">
      <c r="A18" s="48" t="s">
        <v>129</v>
      </c>
      <c r="B18" s="49" t="s">
        <v>124</v>
      </c>
      <c r="C18" s="41">
        <v>11.49</v>
      </c>
      <c r="D18" s="59" t="s">
        <v>44</v>
      </c>
      <c r="E18" s="51">
        <f t="shared" si="1"/>
        <v>11.49</v>
      </c>
      <c r="F18" s="52">
        <f>IFERROR(ROUND(E18 / Totals_4[$ Subtotal], 4), 0)
</f>
        <v>0.0644</v>
      </c>
      <c r="G18" s="51">
        <f>IFERROR(F18*(Totals_4[$ Tax Amount]+Totals_4[$ Tip Amount]), 0)
</f>
        <v>2.758896</v>
      </c>
      <c r="H18" s="51">
        <f t="shared" si="2"/>
        <v>14.248896</v>
      </c>
      <c r="I18" s="54" t="b">
        <v>0</v>
      </c>
      <c r="J18" s="55" t="str">
        <f t="shared" si="3"/>
        <v>Anais ($14.25) ❌</v>
      </c>
      <c r="K18" s="35"/>
      <c r="L18" s="35"/>
      <c r="M18" s="35"/>
      <c r="N18" s="35"/>
      <c r="O18" s="35"/>
      <c r="P18" s="35"/>
      <c r="Q18" s="35"/>
      <c r="R18" s="35"/>
      <c r="S18" s="35"/>
      <c r="T18" s="35"/>
      <c r="U18" s="35"/>
      <c r="V18" s="35"/>
      <c r="W18" s="35"/>
      <c r="X18" s="35"/>
      <c r="Y18" s="35"/>
      <c r="Z18" s="35"/>
    </row>
    <row r="19" ht="22.5" customHeight="1">
      <c r="A19" s="48" t="s">
        <v>130</v>
      </c>
      <c r="B19" s="49" t="s">
        <v>124</v>
      </c>
      <c r="C19" s="41">
        <v>13.49</v>
      </c>
      <c r="D19" s="59" t="s">
        <v>44</v>
      </c>
      <c r="E19" s="51">
        <f t="shared" si="1"/>
        <v>13.49</v>
      </c>
      <c r="F19" s="52">
        <f>IFERROR(ROUND(E19 / Totals_4[$ Subtotal], 4), 0)
</f>
        <v>0.0756</v>
      </c>
      <c r="G19" s="51">
        <f>IFERROR(F19*(Totals_4[$ Tax Amount]+Totals_4[$ Tip Amount]), 0)
</f>
        <v>3.238704</v>
      </c>
      <c r="H19" s="51">
        <f t="shared" si="2"/>
        <v>16.728704</v>
      </c>
      <c r="I19" s="54" t="b">
        <v>0</v>
      </c>
      <c r="J19" s="55" t="str">
        <f t="shared" si="3"/>
        <v>kelly ($16.73) ❌</v>
      </c>
      <c r="K19" s="35"/>
      <c r="L19" s="35"/>
      <c r="M19" s="35"/>
      <c r="N19" s="35"/>
      <c r="O19" s="35"/>
      <c r="P19" s="35"/>
      <c r="Q19" s="35"/>
      <c r="R19" s="35"/>
      <c r="S19" s="35"/>
      <c r="T19" s="35"/>
      <c r="U19" s="35"/>
      <c r="V19" s="35"/>
      <c r="W19" s="35"/>
      <c r="X19" s="35"/>
      <c r="Y19" s="35"/>
      <c r="Z19" s="35"/>
    </row>
    <row r="20" ht="22.5" customHeight="1">
      <c r="A20" s="48" t="s">
        <v>131</v>
      </c>
      <c r="B20" s="49" t="s">
        <v>132</v>
      </c>
      <c r="C20" s="41">
        <v>16.99</v>
      </c>
      <c r="D20" s="59" t="s">
        <v>44</v>
      </c>
      <c r="E20" s="51">
        <f t="shared" si="1"/>
        <v>16.99</v>
      </c>
      <c r="F20" s="52">
        <f>IFERROR(ROUND(E20 / Totals_4[$ Subtotal], 4), 0)
</f>
        <v>0.0952</v>
      </c>
      <c r="G20" s="51">
        <f>IFERROR(F20*(Totals_4[$ Tax Amount]+Totals_4[$ Tip Amount]), 0)
</f>
        <v>4.078368</v>
      </c>
      <c r="H20" s="51">
        <f t="shared" si="2"/>
        <v>21.068368</v>
      </c>
      <c r="I20" s="54" t="b">
        <v>0</v>
      </c>
      <c r="J20" s="55" t="str">
        <f t="shared" si="3"/>
        <v>Arianna ($21.07) ❌</v>
      </c>
      <c r="K20" s="35"/>
      <c r="L20" s="35"/>
      <c r="M20" s="35"/>
      <c r="N20" s="35"/>
      <c r="O20" s="35"/>
      <c r="P20" s="35"/>
      <c r="Q20" s="35"/>
      <c r="R20" s="35"/>
      <c r="S20" s="35"/>
      <c r="T20" s="35"/>
      <c r="U20" s="35"/>
      <c r="V20" s="35"/>
      <c r="W20" s="35"/>
      <c r="X20" s="35"/>
      <c r="Y20" s="35"/>
      <c r="Z20" s="35"/>
    </row>
    <row r="21" ht="22.5" customHeight="1">
      <c r="A21" s="48"/>
      <c r="B21" s="49"/>
      <c r="C21" s="41"/>
      <c r="D21" s="59" t="s">
        <v>55</v>
      </c>
      <c r="E21" s="51">
        <f t="shared" si="1"/>
        <v>0</v>
      </c>
      <c r="F21" s="52">
        <f>IFERROR(ROUND(E21 / Totals_4[$ Subtotal], 4), 0)
</f>
        <v>0</v>
      </c>
      <c r="G21" s="51">
        <f>IFERROR(F21*(Totals_4[$ Tax Amount]+Totals_4[$ Tip Amount]), 0)
</f>
        <v>0</v>
      </c>
      <c r="H21" s="51">
        <f t="shared" si="2"/>
        <v>0</v>
      </c>
      <c r="I21" s="54" t="b">
        <v>0</v>
      </c>
      <c r="J21" s="55" t="str">
        <f t="shared" si="3"/>
        <v/>
      </c>
      <c r="K21" s="35"/>
      <c r="L21" s="35"/>
      <c r="M21" s="35"/>
      <c r="N21" s="35"/>
      <c r="O21" s="35"/>
      <c r="P21" s="35"/>
      <c r="Q21" s="35"/>
      <c r="R21" s="35"/>
      <c r="S21" s="35"/>
      <c r="T21" s="35"/>
      <c r="U21" s="35"/>
      <c r="V21" s="35"/>
      <c r="W21" s="35"/>
      <c r="X21" s="35"/>
      <c r="Y21" s="35"/>
      <c r="Z21" s="35"/>
    </row>
    <row r="22" ht="22.5" customHeight="1">
      <c r="A22" s="48"/>
      <c r="B22" s="49"/>
      <c r="C22" s="41"/>
      <c r="D22" s="59" t="s">
        <v>55</v>
      </c>
      <c r="E22" s="51">
        <f t="shared" si="1"/>
        <v>0</v>
      </c>
      <c r="F22" s="52">
        <f>IFERROR(ROUND(E22 / Totals_4[$ Subtotal], 4), 0)
</f>
        <v>0</v>
      </c>
      <c r="G22" s="51">
        <f>IFERROR(F22*(Totals_4[$ Tax Amount]+Totals_4[$ Tip Amount]), 0)
</f>
        <v>0</v>
      </c>
      <c r="H22" s="51">
        <f t="shared" si="2"/>
        <v>0</v>
      </c>
      <c r="I22" s="54" t="b">
        <v>0</v>
      </c>
      <c r="J22" s="55" t="str">
        <f t="shared" si="3"/>
        <v/>
      </c>
      <c r="K22" s="35"/>
      <c r="L22" s="35"/>
      <c r="M22" s="35"/>
      <c r="N22" s="35"/>
      <c r="O22" s="35"/>
      <c r="P22" s="35"/>
      <c r="Q22" s="35"/>
      <c r="R22" s="35"/>
      <c r="S22" s="35"/>
      <c r="T22" s="35"/>
      <c r="U22" s="35"/>
      <c r="V22" s="35"/>
      <c r="W22" s="35"/>
      <c r="X22" s="35"/>
      <c r="Y22" s="35"/>
      <c r="Z22" s="35"/>
    </row>
    <row r="23" ht="22.5" customHeight="1">
      <c r="A23" s="48"/>
      <c r="B23" s="56"/>
      <c r="C23" s="41"/>
      <c r="D23" s="59" t="s">
        <v>55</v>
      </c>
      <c r="E23" s="51">
        <f t="shared" si="1"/>
        <v>0</v>
      </c>
      <c r="F23" s="52">
        <f>IFERROR(ROUND(E23 / Totals_4[$ Subtotal], 4), 0)
</f>
        <v>0</v>
      </c>
      <c r="G23" s="51">
        <f>IFERROR(F23*(Totals_4[$ Tax Amount]+Totals_4[$ Tip Amount]), 0)
</f>
        <v>0</v>
      </c>
      <c r="H23" s="51">
        <f t="shared" si="2"/>
        <v>0</v>
      </c>
      <c r="I23" s="54" t="b">
        <v>0</v>
      </c>
      <c r="J23" s="55" t="str">
        <f t="shared" si="3"/>
        <v/>
      </c>
      <c r="K23" s="35"/>
      <c r="L23" s="35"/>
      <c r="M23" s="35"/>
      <c r="N23" s="35"/>
      <c r="O23" s="35"/>
      <c r="P23" s="35"/>
      <c r="Q23" s="35"/>
      <c r="R23" s="35"/>
      <c r="S23" s="35"/>
      <c r="T23" s="35"/>
      <c r="U23" s="35"/>
      <c r="V23" s="35"/>
      <c r="W23" s="35"/>
      <c r="X23" s="35"/>
      <c r="Y23" s="35"/>
      <c r="Z23" s="35"/>
    </row>
    <row r="24" ht="22.5" customHeight="1">
      <c r="A24" s="58"/>
      <c r="B24" s="56"/>
      <c r="C24" s="57"/>
      <c r="D24" s="59" t="s">
        <v>55</v>
      </c>
      <c r="E24" s="51">
        <f t="shared" si="1"/>
        <v>0</v>
      </c>
      <c r="F24" s="52">
        <f>IFERROR(ROUND(E24 / Totals_4[$ Subtotal], 4), 0)
</f>
        <v>0</v>
      </c>
      <c r="G24" s="51">
        <f>IFERROR(F24*(Totals_4[$ Tax Amount]+Totals_4[$ Tip Amount]), 0)
</f>
        <v>0</v>
      </c>
      <c r="H24" s="51">
        <f t="shared" si="2"/>
        <v>0</v>
      </c>
      <c r="I24" s="54" t="b">
        <v>0</v>
      </c>
      <c r="J24" s="55" t="str">
        <f t="shared" si="3"/>
        <v/>
      </c>
      <c r="K24" s="35"/>
      <c r="L24" s="35"/>
      <c r="M24" s="35"/>
      <c r="N24" s="35"/>
      <c r="O24" s="35"/>
      <c r="P24" s="35"/>
      <c r="Q24" s="35"/>
      <c r="R24" s="35"/>
      <c r="S24" s="35"/>
      <c r="T24" s="35"/>
      <c r="U24" s="35"/>
      <c r="V24" s="35"/>
      <c r="W24" s="35"/>
      <c r="X24" s="35"/>
      <c r="Y24" s="35"/>
      <c r="Z24" s="35"/>
    </row>
    <row r="25" ht="22.5" customHeight="1">
      <c r="A25" s="58"/>
      <c r="B25" s="56"/>
      <c r="C25" s="57"/>
      <c r="D25" s="59" t="s">
        <v>55</v>
      </c>
      <c r="E25" s="51">
        <f t="shared" si="1"/>
        <v>0</v>
      </c>
      <c r="F25" s="52">
        <f>IFERROR(ROUND(E25 / Totals_4[$ Subtotal], 4), 0)
</f>
        <v>0</v>
      </c>
      <c r="G25" s="51">
        <f>IFERROR(F25*(Totals_4[$ Tax Amount]+Totals_4[$ Tip Amount]), 0)
</f>
        <v>0</v>
      </c>
      <c r="H25" s="51">
        <f t="shared" si="2"/>
        <v>0</v>
      </c>
      <c r="I25" s="54" t="b">
        <v>0</v>
      </c>
      <c r="J25" s="55" t="str">
        <f t="shared" si="3"/>
        <v/>
      </c>
      <c r="K25" s="35"/>
      <c r="L25" s="35"/>
      <c r="M25" s="35"/>
      <c r="N25" s="35"/>
      <c r="O25" s="35"/>
      <c r="P25" s="35"/>
      <c r="Q25" s="35"/>
      <c r="R25" s="35"/>
      <c r="S25" s="35"/>
      <c r="T25" s="35"/>
      <c r="U25" s="35"/>
      <c r="V25" s="35"/>
      <c r="W25" s="35"/>
      <c r="X25" s="35"/>
      <c r="Y25" s="35"/>
      <c r="Z25" s="35"/>
    </row>
    <row r="26" ht="22.5" customHeight="1">
      <c r="A26" s="58"/>
      <c r="B26" s="56"/>
      <c r="C26" s="57"/>
      <c r="D26" s="59" t="s">
        <v>55</v>
      </c>
      <c r="E26" s="51">
        <f t="shared" si="1"/>
        <v>0</v>
      </c>
      <c r="F26" s="52">
        <f>IFERROR(ROUND(E26 / Totals_4[$ Subtotal], 4), 0)
</f>
        <v>0</v>
      </c>
      <c r="G26" s="51">
        <f>IFERROR(F26*(Totals_4[$ Tax Amount]+Totals_4[$ Tip Amount]), 0)
</f>
        <v>0</v>
      </c>
      <c r="H26" s="51">
        <f t="shared" si="2"/>
        <v>0</v>
      </c>
      <c r="I26" s="54" t="b">
        <v>0</v>
      </c>
      <c r="J26" s="55" t="str">
        <f t="shared" si="3"/>
        <v/>
      </c>
      <c r="K26" s="35"/>
      <c r="L26" s="35"/>
      <c r="M26" s="35"/>
      <c r="N26" s="35"/>
      <c r="O26" s="35"/>
      <c r="P26" s="35"/>
      <c r="Q26" s="35"/>
      <c r="R26" s="35"/>
      <c r="S26" s="35"/>
      <c r="T26" s="35"/>
      <c r="U26" s="35"/>
      <c r="V26" s="35"/>
      <c r="W26" s="35"/>
      <c r="X26" s="35"/>
      <c r="Y26" s="35"/>
      <c r="Z26" s="35"/>
    </row>
    <row r="27" ht="22.5" customHeight="1">
      <c r="A27" s="58"/>
      <c r="B27" s="56"/>
      <c r="C27" s="57"/>
      <c r="D27" s="59" t="s">
        <v>55</v>
      </c>
      <c r="E27" s="51">
        <f t="shared" si="1"/>
        <v>0</v>
      </c>
      <c r="F27" s="52">
        <f>IFERROR(ROUND(E27 / Totals_4[$ Subtotal], 4), 0)
</f>
        <v>0</v>
      </c>
      <c r="G27" s="51">
        <f>IFERROR(F27*(Totals_4[$ Tax Amount]+Totals_4[$ Tip Amount]), 0)
</f>
        <v>0</v>
      </c>
      <c r="H27" s="51">
        <f t="shared" si="2"/>
        <v>0</v>
      </c>
      <c r="I27" s="54" t="b">
        <v>0</v>
      </c>
      <c r="J27" s="55" t="str">
        <f t="shared" si="3"/>
        <v/>
      </c>
      <c r="K27" s="35"/>
      <c r="L27" s="35"/>
      <c r="M27" s="35"/>
      <c r="N27" s="35"/>
      <c r="O27" s="35"/>
      <c r="P27" s="35"/>
      <c r="Q27" s="35"/>
      <c r="R27" s="35"/>
      <c r="S27" s="35"/>
      <c r="T27" s="35"/>
      <c r="U27" s="35"/>
      <c r="V27" s="35"/>
      <c r="W27" s="35"/>
      <c r="X27" s="35"/>
      <c r="Y27" s="35"/>
      <c r="Z27" s="35"/>
    </row>
  </sheetData>
  <conditionalFormatting sqref="D8:D27">
    <cfRule type="colorScale" priority="1">
      <colorScale>
        <cfvo type="min"/>
        <cfvo type="max"/>
        <color rgb="FFFFFFFF"/>
        <color rgb="FF57BB8A"/>
      </colorScale>
    </cfRule>
  </conditionalFormatting>
  <conditionalFormatting sqref="J8:J27">
    <cfRule type="expression" dxfId="7" priority="2">
      <formula>AND(I8=FALSE,E8&lt;&gt;0)</formula>
    </cfRule>
  </conditionalFormatting>
  <dataValidations>
    <dataValidation type="decimal" allowBlank="1" showDropDown="1" showInputMessage="1" prompt="Enter a tip percentage between 0 and 100" sqref="B1">
      <formula1>0.0</formula1>
      <formula2>100.0</formula2>
    </dataValidation>
    <dataValidation type="custom" allowBlank="1" showDropDown="1" sqref="B4:E4 C8:C27 E8:G27">
      <formula1>AND(ISNUMBER(B4),(NOT(OR(NOT(ISERROR(DATEVALUE(B4))), AND(ISNUMBER(B4), LEFT(CELL("format", B4))="D")))))</formula1>
    </dataValidation>
    <dataValidation type="list" allowBlank="1" sqref="D8:D27">
      <formula1>"N/A,Solo,Appetizer,Treated"</formula1>
    </dataValidation>
    <dataValidation allowBlank="1" showDropDown="1" sqref="B8:B27"/>
  </dataValidations>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4.5"/>
    <col customWidth="1" min="2" max="2" width="13.88"/>
    <col customWidth="1" min="3" max="3" width="12.25"/>
    <col customWidth="1" min="4" max="4" width="14.25"/>
    <col customWidth="1" min="5" max="5" width="12.5"/>
    <col customWidth="1" min="6" max="6" width="14.75"/>
    <col customWidth="1" min="7" max="7" width="12.13"/>
    <col customWidth="1" min="8" max="8" width="10.13"/>
    <col customWidth="1" min="9" max="9" width="11.0"/>
    <col customWidth="1" min="10" max="10" width="22.25"/>
    <col customWidth="1" min="11" max="11" width="15.88"/>
  </cols>
  <sheetData>
    <row r="1" ht="57.0" customHeight="1">
      <c r="A1" s="33" t="s">
        <v>56</v>
      </c>
      <c r="B1" s="34"/>
      <c r="C1" s="35"/>
      <c r="D1" s="35"/>
      <c r="E1" s="35"/>
      <c r="F1" s="35"/>
      <c r="G1" s="35"/>
      <c r="H1" s="35"/>
      <c r="I1" s="35"/>
      <c r="J1" s="35"/>
      <c r="K1" s="35"/>
      <c r="L1" s="35"/>
      <c r="M1" s="35"/>
      <c r="N1" s="35"/>
      <c r="O1" s="35"/>
      <c r="P1" s="35"/>
      <c r="Q1" s="35"/>
      <c r="R1" s="35"/>
      <c r="S1" s="35"/>
      <c r="T1" s="35"/>
      <c r="U1" s="35"/>
      <c r="V1" s="35"/>
      <c r="W1" s="35"/>
      <c r="X1" s="35"/>
      <c r="Y1" s="35"/>
      <c r="Z1" s="35"/>
      <c r="AA1" s="35"/>
    </row>
    <row r="2" outlineLevel="1">
      <c r="A2" s="36" t="s">
        <v>29</v>
      </c>
      <c r="B2" s="37"/>
      <c r="C2" s="37"/>
      <c r="D2" s="37"/>
      <c r="E2" s="37"/>
      <c r="F2" s="35"/>
      <c r="G2" s="35"/>
      <c r="H2" s="35"/>
      <c r="I2" s="35"/>
      <c r="J2" s="35"/>
      <c r="K2" s="35"/>
      <c r="L2" s="35"/>
      <c r="M2" s="35"/>
      <c r="N2" s="35"/>
      <c r="O2" s="35"/>
      <c r="P2" s="35"/>
      <c r="Q2" s="35"/>
      <c r="R2" s="35"/>
      <c r="S2" s="35"/>
      <c r="T2" s="35"/>
      <c r="U2" s="35"/>
      <c r="V2" s="35"/>
      <c r="W2" s="35"/>
      <c r="X2" s="35"/>
      <c r="Y2" s="35"/>
      <c r="Z2" s="35"/>
      <c r="AA2" s="35"/>
    </row>
    <row r="3" ht="22.5" customHeight="1" outlineLevel="1">
      <c r="A3" s="38" t="s">
        <v>30</v>
      </c>
      <c r="B3" s="39" t="s">
        <v>31</v>
      </c>
      <c r="C3" s="39" t="s">
        <v>32</v>
      </c>
      <c r="D3" s="40" t="s">
        <v>33</v>
      </c>
      <c r="E3" s="39" t="s">
        <v>34</v>
      </c>
      <c r="F3" s="35"/>
      <c r="G3" s="35"/>
      <c r="H3" s="35"/>
      <c r="I3" s="35"/>
      <c r="J3" s="35"/>
      <c r="K3" s="35"/>
      <c r="L3" s="35"/>
      <c r="M3" s="35"/>
      <c r="N3" s="35"/>
      <c r="O3" s="35"/>
      <c r="P3" s="35"/>
      <c r="Q3" s="35"/>
      <c r="R3" s="35"/>
      <c r="S3" s="35"/>
      <c r="T3" s="35"/>
      <c r="U3" s="35"/>
      <c r="V3" s="35"/>
      <c r="W3" s="35"/>
      <c r="X3" s="35"/>
      <c r="Y3" s="35"/>
      <c r="Z3" s="35"/>
      <c r="AA3" s="35"/>
    </row>
    <row r="4" ht="22.5" customHeight="1" outlineLevel="1">
      <c r="A4" s="36" t="s">
        <v>35</v>
      </c>
      <c r="B4" s="41">
        <v>10.07</v>
      </c>
      <c r="C4" s="41">
        <v>19.49</v>
      </c>
      <c r="D4" s="42">
        <f>SUM(Food_Ordered_6[$ Dish Price])</f>
        <v>129.94</v>
      </c>
      <c r="E4" s="43">
        <f>ROUND(SUM(H:H),4)</f>
        <v>159.4941</v>
      </c>
      <c r="F4" s="35"/>
      <c r="G4" s="35"/>
      <c r="H4" s="35"/>
      <c r="I4" s="35"/>
      <c r="J4" s="35"/>
      <c r="K4" s="35"/>
      <c r="L4" s="35"/>
      <c r="M4" s="35"/>
      <c r="N4" s="35"/>
      <c r="O4" s="35"/>
      <c r="P4" s="35"/>
      <c r="Q4" s="35"/>
      <c r="R4" s="35"/>
      <c r="S4" s="35"/>
      <c r="T4" s="35"/>
      <c r="U4" s="35"/>
      <c r="V4" s="35"/>
      <c r="W4" s="35"/>
      <c r="X4" s="35"/>
      <c r="Y4" s="35"/>
      <c r="Z4" s="35"/>
      <c r="AA4" s="35"/>
    </row>
    <row r="5" ht="22.5" customHeight="1">
      <c r="A5" s="36" t="s">
        <v>36</v>
      </c>
      <c r="B5" s="44" t="str">
        <f>IFERROR("("&amp;TEXT(SUM(Totals_6[$ Tax Amount]/Totals_6[$ Subtotal]),"#,##0.00%")&amp;")",0)</f>
        <v>(7.75%)</v>
      </c>
      <c r="C5" s="44" t="str">
        <f>IFERROR("("&amp;TEXT(SUM(Totals_6[$ Tip Amount]/Totals_6[$ Subtotal]),"#,##0.00%")&amp;")",0)</f>
        <v>(15.00%)</v>
      </c>
      <c r="D5" s="45"/>
      <c r="E5" s="45"/>
      <c r="F5" s="35"/>
      <c r="G5" s="35"/>
      <c r="H5" s="35"/>
      <c r="I5" s="35"/>
      <c r="J5" s="35"/>
      <c r="K5" s="35"/>
      <c r="L5" s="35"/>
      <c r="M5" s="35"/>
      <c r="N5" s="35"/>
      <c r="O5" s="35"/>
      <c r="P5" s="35"/>
      <c r="Q5" s="35"/>
      <c r="R5" s="35"/>
      <c r="S5" s="35"/>
      <c r="T5" s="35"/>
      <c r="U5" s="35"/>
      <c r="V5" s="35"/>
      <c r="W5" s="35"/>
      <c r="X5" s="35"/>
      <c r="Y5" s="35"/>
      <c r="Z5" s="35"/>
      <c r="AA5" s="35"/>
    </row>
    <row r="6">
      <c r="A6" s="35"/>
      <c r="B6" s="35"/>
      <c r="C6" s="35"/>
      <c r="D6" s="35"/>
      <c r="E6" s="35"/>
      <c r="F6" s="35"/>
      <c r="G6" s="36"/>
      <c r="H6" s="35"/>
      <c r="I6" s="35"/>
      <c r="J6" s="35"/>
      <c r="K6" s="35"/>
      <c r="L6" s="35"/>
      <c r="M6" s="35"/>
      <c r="N6" s="35"/>
      <c r="O6" s="35"/>
      <c r="P6" s="35"/>
      <c r="Q6" s="35"/>
      <c r="R6" s="35"/>
      <c r="S6" s="35"/>
      <c r="T6" s="35"/>
      <c r="U6" s="35"/>
      <c r="V6" s="35"/>
      <c r="W6" s="35"/>
      <c r="X6" s="35"/>
      <c r="Y6" s="35"/>
      <c r="Z6" s="35"/>
      <c r="AA6" s="35"/>
    </row>
    <row r="7" ht="22.5" customHeight="1">
      <c r="A7" s="46" t="s">
        <v>37</v>
      </c>
      <c r="B7" s="46" t="s">
        <v>38</v>
      </c>
      <c r="C7" s="46" t="s">
        <v>39</v>
      </c>
      <c r="D7" s="46" t="s">
        <v>40</v>
      </c>
      <c r="E7" s="46" t="s">
        <v>12</v>
      </c>
      <c r="F7" s="47" t="s">
        <v>14</v>
      </c>
      <c r="G7" s="39" t="s">
        <v>16</v>
      </c>
      <c r="H7" s="39" t="s">
        <v>18</v>
      </c>
      <c r="I7" s="39" t="s">
        <v>41</v>
      </c>
      <c r="J7" s="39" t="s">
        <v>20</v>
      </c>
      <c r="K7" s="35"/>
      <c r="L7" s="35"/>
      <c r="M7" s="35"/>
      <c r="N7" s="35"/>
      <c r="O7" s="35"/>
      <c r="P7" s="35"/>
      <c r="Q7" s="35"/>
      <c r="R7" s="35"/>
      <c r="S7" s="35"/>
      <c r="T7" s="35"/>
      <c r="U7" s="35"/>
      <c r="V7" s="35"/>
      <c r="W7" s="35"/>
      <c r="X7" s="35"/>
      <c r="Y7" s="35"/>
      <c r="Z7" s="35"/>
    </row>
    <row r="8" ht="22.5" customHeight="1">
      <c r="A8" s="48" t="s">
        <v>58</v>
      </c>
      <c r="B8" s="49" t="s">
        <v>133</v>
      </c>
      <c r="C8" s="41">
        <v>18.99</v>
      </c>
      <c r="D8" s="59" t="s">
        <v>44</v>
      </c>
      <c r="E8" s="51">
        <f t="shared" ref="E8:E27" si="1">IF(OR(D8="Appetizer", D8="Treated",D8="N/A"), 0, SUMIF(A$8:A27, A8, C$8:C27) + (SUMIF(D$8:D27, "Appetizer", C$8:C27) + SUMIF(D$8:D27, "Treated", C$8:C27)) / COUNTIF(D$8:D27, "Solo"))
</f>
        <v>18.99</v>
      </c>
      <c r="F8" s="52">
        <f>IFERROR(ROUND(E8 / Totals_6[$ Subtotal], 4), 0)
</f>
        <v>0.1461</v>
      </c>
      <c r="G8" s="53">
        <f>IFERROR(F8*(Totals_6[$ Tax Amount]+Totals_6[$ Tip Amount]), 0)
</f>
        <v>4.318716</v>
      </c>
      <c r="H8" s="51">
        <f t="shared" ref="H8:H27" si="2">E8+G8</f>
        <v>23.308716</v>
      </c>
      <c r="I8" s="54" t="b">
        <v>0</v>
      </c>
      <c r="J8" s="55" t="str">
        <f t="shared" ref="J8:J27" si="3">IF(E8=0,"",A8 &amp; " ($" &amp; TEXT(H8, "#,##0.00") &amp; ") " &amp; IF(I8=TRUE, "✅", "❌"))</f>
        <v>Sunny ($23.31) ❌</v>
      </c>
      <c r="K8" s="35"/>
      <c r="L8" s="35"/>
      <c r="M8" s="35"/>
      <c r="N8" s="35"/>
      <c r="O8" s="35"/>
      <c r="P8" s="35"/>
      <c r="Q8" s="35"/>
      <c r="R8" s="35"/>
      <c r="S8" s="35"/>
      <c r="T8" s="35"/>
      <c r="U8" s="35"/>
      <c r="V8" s="35"/>
      <c r="W8" s="35"/>
      <c r="X8" s="35"/>
      <c r="Y8" s="35"/>
      <c r="Z8" s="35"/>
    </row>
    <row r="9" ht="22.5" customHeight="1">
      <c r="A9" s="48" t="s">
        <v>134</v>
      </c>
      <c r="B9" s="49" t="s">
        <v>133</v>
      </c>
      <c r="C9" s="41">
        <v>18.99</v>
      </c>
      <c r="D9" s="59" t="s">
        <v>44</v>
      </c>
      <c r="E9" s="51">
        <f t="shared" si="1"/>
        <v>18.99</v>
      </c>
      <c r="F9" s="52">
        <f>IFERROR(ROUND(E9 / Totals_6[$ Subtotal], 4), 0)
</f>
        <v>0.1461</v>
      </c>
      <c r="G9" s="51">
        <f>IFERROR(F9*(Totals_6[$ Tax Amount]+Totals_6[$ Tip Amount]), 0)
</f>
        <v>4.318716</v>
      </c>
      <c r="H9" s="51">
        <f t="shared" si="2"/>
        <v>23.308716</v>
      </c>
      <c r="I9" s="54" t="b">
        <v>0</v>
      </c>
      <c r="J9" s="55" t="str">
        <f t="shared" si="3"/>
        <v>Reygane ($23.31) ❌</v>
      </c>
      <c r="K9" s="35"/>
      <c r="L9" s="35"/>
      <c r="M9" s="35"/>
      <c r="N9" s="35"/>
      <c r="O9" s="35"/>
      <c r="P9" s="35"/>
      <c r="Q9" s="35"/>
      <c r="R9" s="35"/>
      <c r="S9" s="35"/>
      <c r="T9" s="35"/>
      <c r="U9" s="35"/>
      <c r="V9" s="35"/>
      <c r="W9" s="35"/>
      <c r="X9" s="35"/>
      <c r="Y9" s="35"/>
      <c r="Z9" s="35"/>
    </row>
    <row r="10" ht="22.5" customHeight="1">
      <c r="A10" s="48" t="s">
        <v>135</v>
      </c>
      <c r="B10" s="49" t="s">
        <v>136</v>
      </c>
      <c r="C10" s="41">
        <v>53.98</v>
      </c>
      <c r="D10" s="59" t="s">
        <v>44</v>
      </c>
      <c r="E10" s="51">
        <f t="shared" si="1"/>
        <v>53.98</v>
      </c>
      <c r="F10" s="52">
        <f>IFERROR(ROUND(E10 / Totals_6[$ Subtotal], 4), 0)
</f>
        <v>0.4154</v>
      </c>
      <c r="G10" s="53">
        <f>IFERROR(F10*(Totals_6[$ Tax Amount]+Totals_6[$ Tip Amount]), 0)
</f>
        <v>12.279224</v>
      </c>
      <c r="H10" s="51">
        <f t="shared" si="2"/>
        <v>66.259224</v>
      </c>
      <c r="I10" s="54" t="b">
        <v>0</v>
      </c>
      <c r="J10" s="55" t="str">
        <f t="shared" si="3"/>
        <v>Atticus ($66.26) ❌</v>
      </c>
      <c r="K10" s="35"/>
      <c r="L10" s="35"/>
      <c r="M10" s="35"/>
      <c r="N10" s="35"/>
      <c r="O10" s="35"/>
      <c r="P10" s="35"/>
      <c r="Q10" s="35"/>
      <c r="R10" s="35"/>
      <c r="S10" s="35"/>
      <c r="T10" s="35"/>
      <c r="U10" s="35"/>
      <c r="V10" s="35"/>
      <c r="W10" s="35"/>
      <c r="X10" s="35"/>
      <c r="Y10" s="35"/>
      <c r="Z10" s="35"/>
    </row>
    <row r="11" ht="22.5" customHeight="1">
      <c r="A11" s="48" t="s">
        <v>42</v>
      </c>
      <c r="B11" s="49" t="s">
        <v>133</v>
      </c>
      <c r="C11" s="41">
        <v>18.99</v>
      </c>
      <c r="D11" s="59" t="s">
        <v>44</v>
      </c>
      <c r="E11" s="51">
        <f t="shared" si="1"/>
        <v>18.99</v>
      </c>
      <c r="F11" s="52">
        <f>IFERROR(ROUND(E11 / Totals_6[$ Subtotal], 4), 0)
</f>
        <v>0.1461</v>
      </c>
      <c r="G11" s="51">
        <f>IFERROR(F11*(Totals_6[$ Tax Amount]+Totals_6[$ Tip Amount]), 0)
</f>
        <v>4.318716</v>
      </c>
      <c r="H11" s="51">
        <f t="shared" si="2"/>
        <v>23.308716</v>
      </c>
      <c r="I11" s="54" t="b">
        <v>1</v>
      </c>
      <c r="J11" s="55" t="str">
        <f t="shared" si="3"/>
        <v>Matt ($23.31) ✅</v>
      </c>
      <c r="K11" s="35"/>
      <c r="L11" s="35"/>
      <c r="M11" s="35"/>
      <c r="N11" s="35"/>
      <c r="O11" s="35"/>
      <c r="P11" s="35"/>
      <c r="Q11" s="35"/>
      <c r="R11" s="35"/>
      <c r="S11" s="35"/>
      <c r="T11" s="35"/>
      <c r="U11" s="35"/>
      <c r="V11" s="35"/>
      <c r="W11" s="35"/>
      <c r="X11" s="35"/>
      <c r="Y11" s="35"/>
      <c r="Z11" s="35"/>
    </row>
    <row r="12" ht="22.5" customHeight="1">
      <c r="A12" s="48" t="s">
        <v>137</v>
      </c>
      <c r="B12" s="49" t="s">
        <v>133</v>
      </c>
      <c r="C12" s="41">
        <v>18.99</v>
      </c>
      <c r="D12" s="59" t="s">
        <v>44</v>
      </c>
      <c r="E12" s="51">
        <f t="shared" si="1"/>
        <v>18.99</v>
      </c>
      <c r="F12" s="52">
        <f>IFERROR(ROUND(E12 / Totals_6[$ Subtotal], 4), 0)
</f>
        <v>0.1461</v>
      </c>
      <c r="G12" s="51">
        <f>IFERROR(F12*(Totals_6[$ Tax Amount]+Totals_6[$ Tip Amount]), 0)
</f>
        <v>4.318716</v>
      </c>
      <c r="H12" s="51">
        <f t="shared" si="2"/>
        <v>23.308716</v>
      </c>
      <c r="I12" s="54" t="b">
        <v>0</v>
      </c>
      <c r="J12" s="55" t="str">
        <f t="shared" si="3"/>
        <v>Derek ($23.31) ❌</v>
      </c>
      <c r="K12" s="35"/>
      <c r="L12" s="35"/>
      <c r="M12" s="35"/>
      <c r="N12" s="35"/>
      <c r="O12" s="35"/>
      <c r="P12" s="35"/>
      <c r="Q12" s="35"/>
      <c r="R12" s="35"/>
      <c r="S12" s="35"/>
      <c r="T12" s="35"/>
      <c r="U12" s="35"/>
      <c r="V12" s="35"/>
      <c r="W12" s="35"/>
      <c r="X12" s="35"/>
      <c r="Y12" s="35"/>
      <c r="Z12" s="35"/>
    </row>
    <row r="13" ht="22.5" customHeight="1">
      <c r="A13" s="58"/>
      <c r="B13" s="49"/>
      <c r="C13" s="41"/>
      <c r="D13" s="59" t="s">
        <v>55</v>
      </c>
      <c r="E13" s="51">
        <f t="shared" si="1"/>
        <v>0</v>
      </c>
      <c r="F13" s="52">
        <f>IFERROR(ROUND(E13 / Totals_6[$ Subtotal], 4), 0)
</f>
        <v>0</v>
      </c>
      <c r="G13" s="51">
        <f>IFERROR(F13*(Totals_6[$ Tax Amount]+Totals_6[$ Tip Amount]), 0)
</f>
        <v>0</v>
      </c>
      <c r="H13" s="51">
        <f t="shared" si="2"/>
        <v>0</v>
      </c>
      <c r="I13" s="54" t="b">
        <v>0</v>
      </c>
      <c r="J13" s="55" t="str">
        <f t="shared" si="3"/>
        <v/>
      </c>
      <c r="K13" s="35"/>
      <c r="L13" s="35"/>
      <c r="M13" s="35"/>
      <c r="N13" s="35"/>
      <c r="O13" s="35"/>
      <c r="P13" s="35"/>
      <c r="Q13" s="35"/>
      <c r="R13" s="35"/>
      <c r="S13" s="35"/>
      <c r="T13" s="35"/>
      <c r="U13" s="35"/>
      <c r="V13" s="35"/>
      <c r="W13" s="35"/>
      <c r="X13" s="35"/>
      <c r="Y13" s="35"/>
      <c r="Z13" s="35"/>
    </row>
    <row r="14" ht="22.5" customHeight="1">
      <c r="A14" s="58"/>
      <c r="B14" s="49"/>
      <c r="C14" s="41"/>
      <c r="D14" s="59" t="s">
        <v>55</v>
      </c>
      <c r="E14" s="51">
        <f t="shared" si="1"/>
        <v>0</v>
      </c>
      <c r="F14" s="52">
        <f>IFERROR(ROUND(E14 / Totals_6[$ Subtotal], 4), 0)
</f>
        <v>0</v>
      </c>
      <c r="G14" s="51">
        <f>IFERROR(F14*(Totals_6[$ Tax Amount]+Totals_6[$ Tip Amount]), 0)
</f>
        <v>0</v>
      </c>
      <c r="H14" s="51">
        <f t="shared" si="2"/>
        <v>0</v>
      </c>
      <c r="I14" s="54" t="b">
        <v>0</v>
      </c>
      <c r="J14" s="55" t="str">
        <f t="shared" si="3"/>
        <v/>
      </c>
      <c r="K14" s="35"/>
      <c r="L14" s="35"/>
      <c r="M14" s="35"/>
      <c r="N14" s="35"/>
      <c r="O14" s="35"/>
      <c r="P14" s="35"/>
      <c r="Q14" s="35"/>
      <c r="R14" s="35"/>
      <c r="S14" s="35"/>
      <c r="T14" s="35"/>
      <c r="U14" s="35"/>
      <c r="V14" s="35"/>
      <c r="W14" s="35"/>
      <c r="X14" s="35"/>
      <c r="Y14" s="35"/>
      <c r="Z14" s="35"/>
    </row>
    <row r="15" ht="22.5" customHeight="1">
      <c r="A15" s="58"/>
      <c r="B15" s="49"/>
      <c r="C15" s="41"/>
      <c r="D15" s="59" t="s">
        <v>55</v>
      </c>
      <c r="E15" s="51">
        <f t="shared" si="1"/>
        <v>0</v>
      </c>
      <c r="F15" s="52">
        <f>IFERROR(ROUND(E15 / Totals_6[$ Subtotal], 4), 0)
</f>
        <v>0</v>
      </c>
      <c r="G15" s="51">
        <f>IFERROR(F15*(Totals_6[$ Tax Amount]+Totals_6[$ Tip Amount]), 0)
</f>
        <v>0</v>
      </c>
      <c r="H15" s="51">
        <f t="shared" si="2"/>
        <v>0</v>
      </c>
      <c r="I15" s="54" t="b">
        <v>0</v>
      </c>
      <c r="J15" s="55" t="str">
        <f t="shared" si="3"/>
        <v/>
      </c>
      <c r="K15" s="35"/>
      <c r="L15" s="35"/>
      <c r="M15" s="35"/>
      <c r="N15" s="35"/>
      <c r="O15" s="35"/>
      <c r="P15" s="35"/>
      <c r="Q15" s="35"/>
      <c r="R15" s="35"/>
      <c r="S15" s="35"/>
      <c r="T15" s="35"/>
      <c r="U15" s="35"/>
      <c r="V15" s="35"/>
      <c r="W15" s="35"/>
      <c r="X15" s="35"/>
      <c r="Y15" s="35"/>
      <c r="Z15" s="35"/>
    </row>
    <row r="16" ht="22.5" customHeight="1">
      <c r="A16" s="48"/>
      <c r="B16" s="49"/>
      <c r="C16" s="41"/>
      <c r="D16" s="59" t="s">
        <v>55</v>
      </c>
      <c r="E16" s="51">
        <f t="shared" si="1"/>
        <v>0</v>
      </c>
      <c r="F16" s="52">
        <f>IFERROR(ROUND(E16 / Totals_6[$ Subtotal], 4), 0)
</f>
        <v>0</v>
      </c>
      <c r="G16" s="51">
        <f>IFERROR(F16*(Totals_6[$ Tax Amount]+Totals_6[$ Tip Amount]), 0)
</f>
        <v>0</v>
      </c>
      <c r="H16" s="51">
        <f t="shared" si="2"/>
        <v>0</v>
      </c>
      <c r="I16" s="54" t="b">
        <v>0</v>
      </c>
      <c r="J16" s="55" t="str">
        <f t="shared" si="3"/>
        <v/>
      </c>
      <c r="K16" s="35"/>
      <c r="L16" s="35"/>
      <c r="M16" s="35"/>
      <c r="N16" s="35"/>
      <c r="O16" s="35"/>
      <c r="P16" s="35"/>
      <c r="Q16" s="35"/>
      <c r="R16" s="35"/>
      <c r="S16" s="35"/>
      <c r="T16" s="35"/>
      <c r="U16" s="35"/>
      <c r="V16" s="35"/>
      <c r="W16" s="35"/>
      <c r="X16" s="35"/>
      <c r="Y16" s="35"/>
      <c r="Z16" s="35"/>
    </row>
    <row r="17" ht="22.5" customHeight="1">
      <c r="A17" s="48"/>
      <c r="B17" s="56"/>
      <c r="C17" s="41"/>
      <c r="D17" s="59" t="s">
        <v>55</v>
      </c>
      <c r="E17" s="51">
        <f t="shared" si="1"/>
        <v>0</v>
      </c>
      <c r="F17" s="52">
        <f>IFERROR(ROUND(E17 / Totals_6[$ Subtotal], 4), 0)
</f>
        <v>0</v>
      </c>
      <c r="G17" s="51">
        <f>IFERROR(F17*(Totals_6[$ Tax Amount]+Totals_6[$ Tip Amount]), 0)
</f>
        <v>0</v>
      </c>
      <c r="H17" s="51">
        <f t="shared" si="2"/>
        <v>0</v>
      </c>
      <c r="I17" s="54" t="b">
        <v>0</v>
      </c>
      <c r="J17" s="55" t="str">
        <f t="shared" si="3"/>
        <v/>
      </c>
      <c r="K17" s="35"/>
      <c r="L17" s="35"/>
      <c r="M17" s="35"/>
      <c r="N17" s="35"/>
      <c r="O17" s="35"/>
      <c r="P17" s="35"/>
      <c r="Q17" s="35"/>
      <c r="R17" s="35"/>
      <c r="S17" s="35"/>
      <c r="T17" s="35"/>
      <c r="U17" s="35"/>
      <c r="V17" s="35"/>
      <c r="W17" s="35"/>
      <c r="X17" s="35"/>
      <c r="Y17" s="35"/>
      <c r="Z17" s="35"/>
    </row>
    <row r="18" ht="22.5" customHeight="1">
      <c r="A18" s="48"/>
      <c r="B18" s="49"/>
      <c r="C18" s="41"/>
      <c r="D18" s="59" t="s">
        <v>55</v>
      </c>
      <c r="E18" s="51">
        <f t="shared" si="1"/>
        <v>0</v>
      </c>
      <c r="F18" s="52">
        <f>IFERROR(ROUND(E18 / Totals_6[$ Subtotal], 4), 0)
</f>
        <v>0</v>
      </c>
      <c r="G18" s="51">
        <f>IFERROR(F18*(Totals_6[$ Tax Amount]+Totals_6[$ Tip Amount]), 0)
</f>
        <v>0</v>
      </c>
      <c r="H18" s="51">
        <f t="shared" si="2"/>
        <v>0</v>
      </c>
      <c r="I18" s="54" t="b">
        <v>0</v>
      </c>
      <c r="J18" s="55" t="str">
        <f t="shared" si="3"/>
        <v/>
      </c>
      <c r="K18" s="35"/>
      <c r="L18" s="35"/>
      <c r="M18" s="35"/>
      <c r="N18" s="35"/>
      <c r="O18" s="35"/>
      <c r="P18" s="35"/>
      <c r="Q18" s="35"/>
      <c r="R18" s="35"/>
      <c r="S18" s="35"/>
      <c r="T18" s="35"/>
      <c r="U18" s="35"/>
      <c r="V18" s="35"/>
      <c r="W18" s="35"/>
      <c r="X18" s="35"/>
      <c r="Y18" s="35"/>
      <c r="Z18" s="35"/>
    </row>
    <row r="19" ht="22.5" customHeight="1">
      <c r="A19" s="48"/>
      <c r="B19" s="49"/>
      <c r="C19" s="41"/>
      <c r="D19" s="59" t="s">
        <v>55</v>
      </c>
      <c r="E19" s="51">
        <f t="shared" si="1"/>
        <v>0</v>
      </c>
      <c r="F19" s="52">
        <f>IFERROR(ROUND(E19 / Totals_6[$ Subtotal], 4), 0)
</f>
        <v>0</v>
      </c>
      <c r="G19" s="51">
        <f>IFERROR(F19*(Totals_6[$ Tax Amount]+Totals_6[$ Tip Amount]), 0)
</f>
        <v>0</v>
      </c>
      <c r="H19" s="51">
        <f t="shared" si="2"/>
        <v>0</v>
      </c>
      <c r="I19" s="54" t="b">
        <v>0</v>
      </c>
      <c r="J19" s="55" t="str">
        <f t="shared" si="3"/>
        <v/>
      </c>
      <c r="K19" s="35"/>
      <c r="L19" s="35"/>
      <c r="M19" s="35"/>
      <c r="N19" s="35"/>
      <c r="O19" s="35"/>
      <c r="P19" s="35"/>
      <c r="Q19" s="35"/>
      <c r="R19" s="35"/>
      <c r="S19" s="35"/>
      <c r="T19" s="35"/>
      <c r="U19" s="35"/>
      <c r="V19" s="35"/>
      <c r="W19" s="35"/>
      <c r="X19" s="35"/>
      <c r="Y19" s="35"/>
      <c r="Z19" s="35"/>
    </row>
    <row r="20" ht="22.5" customHeight="1">
      <c r="A20" s="48"/>
      <c r="B20" s="49"/>
      <c r="C20" s="41"/>
      <c r="D20" s="59" t="s">
        <v>55</v>
      </c>
      <c r="E20" s="51">
        <f t="shared" si="1"/>
        <v>0</v>
      </c>
      <c r="F20" s="52">
        <f>IFERROR(ROUND(E20 / Totals_6[$ Subtotal], 4), 0)
</f>
        <v>0</v>
      </c>
      <c r="G20" s="51">
        <f>IFERROR(F20*(Totals_6[$ Tax Amount]+Totals_6[$ Tip Amount]), 0)
</f>
        <v>0</v>
      </c>
      <c r="H20" s="51">
        <f t="shared" si="2"/>
        <v>0</v>
      </c>
      <c r="I20" s="54" t="b">
        <v>0</v>
      </c>
      <c r="J20" s="55" t="str">
        <f t="shared" si="3"/>
        <v/>
      </c>
      <c r="K20" s="35"/>
      <c r="L20" s="35"/>
      <c r="M20" s="35"/>
      <c r="N20" s="35"/>
      <c r="O20" s="35"/>
      <c r="P20" s="35"/>
      <c r="Q20" s="35"/>
      <c r="R20" s="35"/>
      <c r="S20" s="35"/>
      <c r="T20" s="35"/>
      <c r="U20" s="35"/>
      <c r="V20" s="35"/>
      <c r="W20" s="35"/>
      <c r="X20" s="35"/>
      <c r="Y20" s="35"/>
      <c r="Z20" s="35"/>
    </row>
    <row r="21" ht="22.5" customHeight="1">
      <c r="A21" s="48"/>
      <c r="B21" s="49"/>
      <c r="C21" s="41"/>
      <c r="D21" s="59" t="s">
        <v>55</v>
      </c>
      <c r="E21" s="51">
        <f t="shared" si="1"/>
        <v>0</v>
      </c>
      <c r="F21" s="52">
        <f>IFERROR(ROUND(E21 / Totals_6[$ Subtotal], 4), 0)
</f>
        <v>0</v>
      </c>
      <c r="G21" s="51">
        <f>IFERROR(F21*(Totals_6[$ Tax Amount]+Totals_6[$ Tip Amount]), 0)
</f>
        <v>0</v>
      </c>
      <c r="H21" s="51">
        <f t="shared" si="2"/>
        <v>0</v>
      </c>
      <c r="I21" s="54" t="b">
        <v>0</v>
      </c>
      <c r="J21" s="55" t="str">
        <f t="shared" si="3"/>
        <v/>
      </c>
      <c r="K21" s="35"/>
      <c r="L21" s="35"/>
      <c r="M21" s="35"/>
      <c r="N21" s="35"/>
      <c r="O21" s="35"/>
      <c r="P21" s="35"/>
      <c r="Q21" s="35"/>
      <c r="R21" s="35"/>
      <c r="S21" s="35"/>
      <c r="T21" s="35"/>
      <c r="U21" s="35"/>
      <c r="V21" s="35"/>
      <c r="W21" s="35"/>
      <c r="X21" s="35"/>
      <c r="Y21" s="35"/>
      <c r="Z21" s="35"/>
    </row>
    <row r="22" ht="22.5" customHeight="1">
      <c r="A22" s="48"/>
      <c r="B22" s="49"/>
      <c r="C22" s="41"/>
      <c r="D22" s="59" t="s">
        <v>55</v>
      </c>
      <c r="E22" s="51">
        <f t="shared" si="1"/>
        <v>0</v>
      </c>
      <c r="F22" s="52">
        <f>IFERROR(ROUND(E22 / Totals_6[$ Subtotal], 4), 0)
</f>
        <v>0</v>
      </c>
      <c r="G22" s="51">
        <f>IFERROR(F22*(Totals_6[$ Tax Amount]+Totals_6[$ Tip Amount]), 0)
</f>
        <v>0</v>
      </c>
      <c r="H22" s="51">
        <f t="shared" si="2"/>
        <v>0</v>
      </c>
      <c r="I22" s="54" t="b">
        <v>0</v>
      </c>
      <c r="J22" s="55" t="str">
        <f t="shared" si="3"/>
        <v/>
      </c>
      <c r="K22" s="35"/>
      <c r="L22" s="35"/>
      <c r="M22" s="35"/>
      <c r="N22" s="35"/>
      <c r="O22" s="35"/>
      <c r="P22" s="35"/>
      <c r="Q22" s="35"/>
      <c r="R22" s="35"/>
      <c r="S22" s="35"/>
      <c r="T22" s="35"/>
      <c r="U22" s="35"/>
      <c r="V22" s="35"/>
      <c r="W22" s="35"/>
      <c r="X22" s="35"/>
      <c r="Y22" s="35"/>
      <c r="Z22" s="35"/>
    </row>
    <row r="23" ht="22.5" customHeight="1">
      <c r="A23" s="48"/>
      <c r="B23" s="56"/>
      <c r="C23" s="41"/>
      <c r="D23" s="59" t="s">
        <v>55</v>
      </c>
      <c r="E23" s="51">
        <f t="shared" si="1"/>
        <v>0</v>
      </c>
      <c r="F23" s="52">
        <f>IFERROR(ROUND(E23 / Totals_6[$ Subtotal], 4), 0)
</f>
        <v>0</v>
      </c>
      <c r="G23" s="51">
        <f>IFERROR(F23*(Totals_6[$ Tax Amount]+Totals_6[$ Tip Amount]), 0)
</f>
        <v>0</v>
      </c>
      <c r="H23" s="51">
        <f t="shared" si="2"/>
        <v>0</v>
      </c>
      <c r="I23" s="54" t="b">
        <v>0</v>
      </c>
      <c r="J23" s="55" t="str">
        <f t="shared" si="3"/>
        <v/>
      </c>
      <c r="K23" s="35"/>
      <c r="L23" s="35"/>
      <c r="M23" s="35"/>
      <c r="N23" s="35"/>
      <c r="O23" s="35"/>
      <c r="P23" s="35"/>
      <c r="Q23" s="35"/>
      <c r="R23" s="35"/>
      <c r="S23" s="35"/>
      <c r="T23" s="35"/>
      <c r="U23" s="35"/>
      <c r="V23" s="35"/>
      <c r="W23" s="35"/>
      <c r="X23" s="35"/>
      <c r="Y23" s="35"/>
      <c r="Z23" s="35"/>
    </row>
    <row r="24" ht="22.5" customHeight="1">
      <c r="A24" s="58"/>
      <c r="B24" s="56"/>
      <c r="C24" s="57"/>
      <c r="D24" s="59" t="s">
        <v>55</v>
      </c>
      <c r="E24" s="51">
        <f t="shared" si="1"/>
        <v>0</v>
      </c>
      <c r="F24" s="52">
        <f>IFERROR(ROUND(E24 / Totals_6[$ Subtotal], 4), 0)
</f>
        <v>0</v>
      </c>
      <c r="G24" s="51">
        <f>IFERROR(F24*(Totals_6[$ Tax Amount]+Totals_6[$ Tip Amount]), 0)
</f>
        <v>0</v>
      </c>
      <c r="H24" s="51">
        <f t="shared" si="2"/>
        <v>0</v>
      </c>
      <c r="I24" s="54" t="b">
        <v>0</v>
      </c>
      <c r="J24" s="55" t="str">
        <f t="shared" si="3"/>
        <v/>
      </c>
      <c r="K24" s="35"/>
      <c r="L24" s="35"/>
      <c r="M24" s="35"/>
      <c r="N24" s="35"/>
      <c r="O24" s="35"/>
      <c r="P24" s="35"/>
      <c r="Q24" s="35"/>
      <c r="R24" s="35"/>
      <c r="S24" s="35"/>
      <c r="T24" s="35"/>
      <c r="U24" s="35"/>
      <c r="V24" s="35"/>
      <c r="W24" s="35"/>
      <c r="X24" s="35"/>
      <c r="Y24" s="35"/>
      <c r="Z24" s="35"/>
    </row>
    <row r="25" ht="22.5" customHeight="1">
      <c r="A25" s="58"/>
      <c r="B25" s="56"/>
      <c r="C25" s="57"/>
      <c r="D25" s="59" t="s">
        <v>55</v>
      </c>
      <c r="E25" s="51">
        <f t="shared" si="1"/>
        <v>0</v>
      </c>
      <c r="F25" s="52">
        <f>IFERROR(ROUND(E25 / Totals_6[$ Subtotal], 4), 0)
</f>
        <v>0</v>
      </c>
      <c r="G25" s="51">
        <f>IFERROR(F25*(Totals_6[$ Tax Amount]+Totals_6[$ Tip Amount]), 0)
</f>
        <v>0</v>
      </c>
      <c r="H25" s="51">
        <f t="shared" si="2"/>
        <v>0</v>
      </c>
      <c r="I25" s="54" t="b">
        <v>0</v>
      </c>
      <c r="J25" s="55" t="str">
        <f t="shared" si="3"/>
        <v/>
      </c>
      <c r="K25" s="35"/>
      <c r="L25" s="35"/>
      <c r="M25" s="35"/>
      <c r="N25" s="35"/>
      <c r="O25" s="35"/>
      <c r="P25" s="35"/>
      <c r="Q25" s="35"/>
      <c r="R25" s="35"/>
      <c r="S25" s="35"/>
      <c r="T25" s="35"/>
      <c r="U25" s="35"/>
      <c r="V25" s="35"/>
      <c r="W25" s="35"/>
      <c r="X25" s="35"/>
      <c r="Y25" s="35"/>
      <c r="Z25" s="35"/>
    </row>
    <row r="26" ht="22.5" customHeight="1">
      <c r="A26" s="58"/>
      <c r="B26" s="56"/>
      <c r="C26" s="57"/>
      <c r="D26" s="59" t="s">
        <v>55</v>
      </c>
      <c r="E26" s="51">
        <f t="shared" si="1"/>
        <v>0</v>
      </c>
      <c r="F26" s="52">
        <f>IFERROR(ROUND(E26 / Totals_6[$ Subtotal], 4), 0)
</f>
        <v>0</v>
      </c>
      <c r="G26" s="51">
        <f>IFERROR(F26*(Totals_6[$ Tax Amount]+Totals_6[$ Tip Amount]), 0)
</f>
        <v>0</v>
      </c>
      <c r="H26" s="51">
        <f t="shared" si="2"/>
        <v>0</v>
      </c>
      <c r="I26" s="54" t="b">
        <v>0</v>
      </c>
      <c r="J26" s="55" t="str">
        <f t="shared" si="3"/>
        <v/>
      </c>
      <c r="K26" s="35"/>
      <c r="L26" s="35"/>
      <c r="M26" s="35"/>
      <c r="N26" s="35"/>
      <c r="O26" s="35"/>
      <c r="P26" s="35"/>
      <c r="Q26" s="35"/>
      <c r="R26" s="35"/>
      <c r="S26" s="35"/>
      <c r="T26" s="35"/>
      <c r="U26" s="35"/>
      <c r="V26" s="35"/>
      <c r="W26" s="35"/>
      <c r="X26" s="35"/>
      <c r="Y26" s="35"/>
      <c r="Z26" s="35"/>
    </row>
    <row r="27" ht="22.5" customHeight="1">
      <c r="A27" s="58"/>
      <c r="B27" s="56"/>
      <c r="C27" s="57"/>
      <c r="D27" s="59" t="s">
        <v>55</v>
      </c>
      <c r="E27" s="51">
        <f t="shared" si="1"/>
        <v>0</v>
      </c>
      <c r="F27" s="52">
        <f>IFERROR(ROUND(E27 / Totals_6[$ Subtotal], 4), 0)
</f>
        <v>0</v>
      </c>
      <c r="G27" s="51">
        <f>IFERROR(F27*(Totals_6[$ Tax Amount]+Totals_6[$ Tip Amount]), 0)
</f>
        <v>0</v>
      </c>
      <c r="H27" s="51">
        <f t="shared" si="2"/>
        <v>0</v>
      </c>
      <c r="I27" s="54" t="b">
        <v>0</v>
      </c>
      <c r="J27" s="55" t="str">
        <f t="shared" si="3"/>
        <v/>
      </c>
      <c r="K27" s="35"/>
      <c r="L27" s="35"/>
      <c r="M27" s="35"/>
      <c r="N27" s="35"/>
      <c r="O27" s="35"/>
      <c r="P27" s="35"/>
      <c r="Q27" s="35"/>
      <c r="R27" s="35"/>
      <c r="S27" s="35"/>
      <c r="T27" s="35"/>
      <c r="U27" s="35"/>
      <c r="V27" s="35"/>
      <c r="W27" s="35"/>
      <c r="X27" s="35"/>
      <c r="Y27" s="35"/>
      <c r="Z27" s="35"/>
    </row>
  </sheetData>
  <conditionalFormatting sqref="D8:D27">
    <cfRule type="colorScale" priority="1">
      <colorScale>
        <cfvo type="min"/>
        <cfvo type="max"/>
        <color rgb="FFFFFFFF"/>
        <color rgb="FF57BB8A"/>
      </colorScale>
    </cfRule>
  </conditionalFormatting>
  <conditionalFormatting sqref="J8:J27">
    <cfRule type="expression" dxfId="7" priority="2">
      <formula>AND(I8=FALSE,E8&lt;&gt;0)</formula>
    </cfRule>
  </conditionalFormatting>
  <dataValidations>
    <dataValidation type="decimal" allowBlank="1" showDropDown="1" showInputMessage="1" prompt="Enter a tip percentage between 0 and 100" sqref="B1">
      <formula1>0.0</formula1>
      <formula2>100.0</formula2>
    </dataValidation>
    <dataValidation type="custom" allowBlank="1" showDropDown="1" sqref="B4:E4 C8:C27 E8:G27">
      <formula1>AND(ISNUMBER(B4),(NOT(OR(NOT(ISERROR(DATEVALUE(B4))), AND(ISNUMBER(B4), LEFT(CELL("format", B4))="D")))))</formula1>
    </dataValidation>
    <dataValidation type="list" allowBlank="1" sqref="D8:D27">
      <formula1>"N/A,Solo,Appetizer,Treated"</formula1>
    </dataValidation>
    <dataValidation allowBlank="1" showDropDown="1" sqref="B8:B27"/>
  </dataValidations>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4.5"/>
    <col customWidth="1" min="2" max="2" width="13.88"/>
    <col customWidth="1" min="3" max="3" width="12.25"/>
    <col customWidth="1" min="4" max="4" width="14.25"/>
    <col customWidth="1" min="5" max="5" width="12.5"/>
    <col customWidth="1" min="6" max="6" width="14.75"/>
    <col customWidth="1" min="7" max="7" width="12.13"/>
    <col customWidth="1" min="8" max="8" width="10.13"/>
    <col customWidth="1" min="9" max="9" width="11.0"/>
    <col customWidth="1" min="10" max="10" width="22.25"/>
    <col customWidth="1" min="11" max="11" width="15.88"/>
  </cols>
  <sheetData>
    <row r="1" ht="57.0" customHeight="1">
      <c r="A1" s="33" t="s">
        <v>56</v>
      </c>
      <c r="B1" s="34"/>
      <c r="C1" s="35"/>
      <c r="D1" s="35"/>
      <c r="E1" s="35"/>
      <c r="F1" s="35"/>
      <c r="G1" s="35"/>
      <c r="H1" s="35"/>
      <c r="I1" s="35"/>
      <c r="J1" s="35"/>
      <c r="K1" s="35"/>
      <c r="L1" s="35"/>
      <c r="M1" s="35"/>
      <c r="N1" s="35"/>
      <c r="O1" s="35"/>
      <c r="P1" s="35"/>
      <c r="Q1" s="35"/>
      <c r="R1" s="35"/>
      <c r="S1" s="35"/>
      <c r="T1" s="35"/>
      <c r="U1" s="35"/>
      <c r="V1" s="35"/>
      <c r="W1" s="35"/>
      <c r="X1" s="35"/>
      <c r="Y1" s="35"/>
      <c r="Z1" s="35"/>
      <c r="AA1" s="35"/>
    </row>
    <row r="2" outlineLevel="1">
      <c r="A2" s="36" t="s">
        <v>29</v>
      </c>
      <c r="B2" s="37"/>
      <c r="C2" s="37"/>
      <c r="D2" s="37"/>
      <c r="E2" s="37"/>
      <c r="F2" s="35"/>
      <c r="G2" s="35"/>
      <c r="H2" s="35"/>
      <c r="I2" s="35"/>
      <c r="J2" s="35"/>
      <c r="K2" s="35"/>
      <c r="L2" s="35"/>
      <c r="M2" s="35"/>
      <c r="N2" s="35"/>
      <c r="O2" s="35"/>
      <c r="P2" s="35"/>
      <c r="Q2" s="35"/>
      <c r="R2" s="35"/>
      <c r="S2" s="35"/>
      <c r="T2" s="35"/>
      <c r="U2" s="35"/>
      <c r="V2" s="35"/>
      <c r="W2" s="35"/>
      <c r="X2" s="35"/>
      <c r="Y2" s="35"/>
      <c r="Z2" s="35"/>
      <c r="AA2" s="35"/>
    </row>
    <row r="3" ht="22.5" customHeight="1" outlineLevel="1">
      <c r="A3" s="38" t="s">
        <v>30</v>
      </c>
      <c r="B3" s="39" t="s">
        <v>31</v>
      </c>
      <c r="C3" s="39" t="s">
        <v>32</v>
      </c>
      <c r="D3" s="40" t="s">
        <v>33</v>
      </c>
      <c r="E3" s="39" t="s">
        <v>34</v>
      </c>
      <c r="F3" s="35"/>
      <c r="G3" s="35"/>
      <c r="H3" s="35"/>
      <c r="I3" s="35"/>
      <c r="J3" s="35"/>
      <c r="K3" s="35"/>
      <c r="L3" s="35"/>
      <c r="M3" s="35"/>
      <c r="N3" s="35"/>
      <c r="O3" s="35"/>
      <c r="P3" s="35"/>
      <c r="Q3" s="35"/>
      <c r="R3" s="35"/>
      <c r="S3" s="35"/>
      <c r="T3" s="35"/>
      <c r="U3" s="35"/>
      <c r="V3" s="35"/>
      <c r="W3" s="35"/>
      <c r="X3" s="35"/>
      <c r="Y3" s="35"/>
      <c r="Z3" s="35"/>
      <c r="AA3" s="35"/>
    </row>
    <row r="4" ht="22.5" customHeight="1" outlineLevel="1">
      <c r="A4" s="36" t="s">
        <v>35</v>
      </c>
      <c r="B4" s="41">
        <v>7.28</v>
      </c>
      <c r="C4" s="41">
        <v>0.0</v>
      </c>
      <c r="D4" s="42">
        <f>SUM(Food_Ordered_7[$ Dish Price])</f>
        <v>128.31</v>
      </c>
      <c r="E4" s="43">
        <f>ROUND(SUM(H:H),4)</f>
        <v>135.59</v>
      </c>
      <c r="F4" s="35"/>
      <c r="G4" s="35"/>
      <c r="H4" s="35"/>
      <c r="I4" s="35"/>
      <c r="J4" s="35"/>
      <c r="K4" s="35"/>
      <c r="L4" s="35"/>
      <c r="M4" s="35"/>
      <c r="N4" s="35"/>
      <c r="O4" s="35"/>
      <c r="P4" s="35"/>
      <c r="Q4" s="35"/>
      <c r="R4" s="35"/>
      <c r="S4" s="35"/>
      <c r="T4" s="35"/>
      <c r="U4" s="35"/>
      <c r="V4" s="35"/>
      <c r="W4" s="35"/>
      <c r="X4" s="35"/>
      <c r="Y4" s="35"/>
      <c r="Z4" s="35"/>
      <c r="AA4" s="35"/>
    </row>
    <row r="5" ht="22.5" customHeight="1">
      <c r="A5" s="36" t="s">
        <v>36</v>
      </c>
      <c r="B5" s="44" t="str">
        <f>IFERROR("("&amp;TEXT(SUM(Totals_7[$ Tax Amount]/Totals_7[$ Subtotal]),"#,##0.00%")&amp;")",0)</f>
        <v>(5.67%)</v>
      </c>
      <c r="C5" s="44" t="str">
        <f>IFERROR("("&amp;TEXT(SUM(Totals_7[$ Tip Amount]/Totals_7[$ Subtotal]),"#,##0.00%")&amp;")",0)</f>
        <v>(0.00%)</v>
      </c>
      <c r="D5" s="45"/>
      <c r="E5" s="45"/>
      <c r="F5" s="35"/>
      <c r="G5" s="35"/>
      <c r="H5" s="35"/>
      <c r="I5" s="35"/>
      <c r="J5" s="35"/>
      <c r="K5" s="35"/>
      <c r="L5" s="35"/>
      <c r="M5" s="35"/>
      <c r="N5" s="35"/>
      <c r="O5" s="35"/>
      <c r="P5" s="35"/>
      <c r="Q5" s="35"/>
      <c r="R5" s="35"/>
      <c r="S5" s="35"/>
      <c r="T5" s="35"/>
      <c r="U5" s="35"/>
      <c r="V5" s="35"/>
      <c r="W5" s="35"/>
      <c r="X5" s="35"/>
      <c r="Y5" s="35"/>
      <c r="Z5" s="35"/>
      <c r="AA5" s="35"/>
    </row>
    <row r="6">
      <c r="A6" s="35"/>
      <c r="B6" s="35"/>
      <c r="C6" s="35"/>
      <c r="D6" s="35"/>
      <c r="E6" s="35"/>
      <c r="F6" s="35"/>
      <c r="G6" s="36"/>
      <c r="H6" s="35"/>
      <c r="I6" s="35"/>
      <c r="J6" s="35"/>
      <c r="K6" s="35"/>
      <c r="L6" s="35"/>
      <c r="M6" s="35"/>
      <c r="N6" s="35"/>
      <c r="O6" s="35"/>
      <c r="P6" s="35"/>
      <c r="Q6" s="35"/>
      <c r="R6" s="35"/>
      <c r="S6" s="35"/>
      <c r="T6" s="35"/>
      <c r="U6" s="35"/>
      <c r="V6" s="35"/>
      <c r="W6" s="35"/>
      <c r="X6" s="35"/>
      <c r="Y6" s="35"/>
      <c r="Z6" s="35"/>
      <c r="AA6" s="35"/>
    </row>
    <row r="7" ht="22.5" customHeight="1">
      <c r="A7" s="46" t="s">
        <v>37</v>
      </c>
      <c r="B7" s="46" t="s">
        <v>38</v>
      </c>
      <c r="C7" s="46" t="s">
        <v>39</v>
      </c>
      <c r="D7" s="46" t="s">
        <v>40</v>
      </c>
      <c r="E7" s="46" t="s">
        <v>12</v>
      </c>
      <c r="F7" s="47" t="s">
        <v>14</v>
      </c>
      <c r="G7" s="39" t="s">
        <v>16</v>
      </c>
      <c r="H7" s="39" t="s">
        <v>18</v>
      </c>
      <c r="I7" s="39" t="s">
        <v>41</v>
      </c>
      <c r="J7" s="39" t="s">
        <v>20</v>
      </c>
      <c r="K7" s="35"/>
      <c r="L7" s="35"/>
      <c r="M7" s="35"/>
      <c r="N7" s="35"/>
      <c r="O7" s="35"/>
      <c r="P7" s="35"/>
      <c r="Q7" s="35"/>
      <c r="R7" s="35"/>
      <c r="S7" s="35"/>
      <c r="T7" s="35"/>
      <c r="U7" s="35"/>
      <c r="V7" s="35"/>
      <c r="W7" s="35"/>
      <c r="X7" s="35"/>
      <c r="Y7" s="35"/>
      <c r="Z7" s="35"/>
    </row>
    <row r="8" ht="22.5" customHeight="1">
      <c r="A8" s="48" t="s">
        <v>138</v>
      </c>
      <c r="B8" s="49" t="s">
        <v>139</v>
      </c>
      <c r="C8" s="41">
        <v>41.98</v>
      </c>
      <c r="D8" s="59" t="s">
        <v>44</v>
      </c>
      <c r="E8" s="51">
        <f t="shared" ref="E8:E27" si="1">IF(OR(D8="Appetizer", D8="Treated",D8="N/A"), 0, SUMIF(A$8:A27, A8, C$8:C27) + (SUMIF(D$8:D27, "Appetizer", C$8:C27) + SUMIF(D$8:D27, "Treated", C$8:C27)) / COUNTIF(D$8:D27, "Solo"))
</f>
        <v>41.98</v>
      </c>
      <c r="F8" s="52">
        <f>IFERROR(ROUND(E8 / Totals_7[$ Subtotal], 4), 0)
</f>
        <v>0.3272</v>
      </c>
      <c r="G8" s="53">
        <f>IFERROR(F8*(Totals_7[$ Tax Amount]+Totals_7[$ Tip Amount]), 0)
</f>
        <v>2.382016</v>
      </c>
      <c r="H8" s="51">
        <f t="shared" ref="H8:H27" si="2">E8+G8</f>
        <v>44.362016</v>
      </c>
      <c r="I8" s="54" t="b">
        <v>0</v>
      </c>
      <c r="J8" s="55" t="str">
        <f t="shared" ref="J8:J27" si="3">IF(E8=0,"",A8 &amp; " ($" &amp; TEXT(H8, "#,##0.00") &amp; ") " &amp; IF(I8=TRUE, "✅", "❌"))</f>
        <v>Matt  ($44.36) ❌</v>
      </c>
      <c r="K8" s="35"/>
      <c r="L8" s="35"/>
      <c r="M8" s="35"/>
      <c r="N8" s="35"/>
      <c r="O8" s="35"/>
      <c r="P8" s="35"/>
      <c r="Q8" s="35"/>
      <c r="R8" s="35"/>
      <c r="S8" s="35"/>
      <c r="T8" s="35"/>
      <c r="U8" s="35"/>
      <c r="V8" s="35"/>
      <c r="W8" s="35"/>
      <c r="X8" s="35"/>
      <c r="Y8" s="35"/>
      <c r="Z8" s="35"/>
    </row>
    <row r="9" ht="22.5" customHeight="1">
      <c r="A9" s="48" t="s">
        <v>140</v>
      </c>
      <c r="B9" s="49" t="s">
        <v>141</v>
      </c>
      <c r="C9" s="41">
        <v>86.33</v>
      </c>
      <c r="D9" s="59" t="s">
        <v>44</v>
      </c>
      <c r="E9" s="51">
        <f t="shared" si="1"/>
        <v>86.33</v>
      </c>
      <c r="F9" s="52">
        <f>IFERROR(ROUND(E9 / Totals_7[$ Subtotal], 4), 0)
</f>
        <v>0.6728</v>
      </c>
      <c r="G9" s="51">
        <f>IFERROR(F9*(Totals_7[$ Tax Amount]+Totals_7[$ Tip Amount]), 0)
</f>
        <v>4.897984</v>
      </c>
      <c r="H9" s="51">
        <f t="shared" si="2"/>
        <v>91.227984</v>
      </c>
      <c r="I9" s="54" t="b">
        <v>0</v>
      </c>
      <c r="J9" s="55" t="str">
        <f t="shared" si="3"/>
        <v>Zach ($91.23) ❌</v>
      </c>
      <c r="K9" s="35"/>
      <c r="L9" s="35"/>
      <c r="M9" s="35"/>
      <c r="N9" s="35"/>
      <c r="O9" s="35"/>
      <c r="P9" s="35"/>
      <c r="Q9" s="35"/>
      <c r="R9" s="35"/>
      <c r="S9" s="35"/>
      <c r="T9" s="35"/>
      <c r="U9" s="35"/>
      <c r="V9" s="35"/>
      <c r="W9" s="35"/>
      <c r="X9" s="35"/>
      <c r="Y9" s="35"/>
      <c r="Z9" s="35"/>
    </row>
    <row r="10" ht="22.5" customHeight="1">
      <c r="A10" s="48"/>
      <c r="B10" s="49"/>
      <c r="C10" s="41"/>
      <c r="D10" s="59" t="s">
        <v>55</v>
      </c>
      <c r="E10" s="51">
        <f t="shared" si="1"/>
        <v>0</v>
      </c>
      <c r="F10" s="52">
        <f>IFERROR(ROUND(E10 / Totals_7[$ Subtotal], 4), 0)
</f>
        <v>0</v>
      </c>
      <c r="G10" s="53">
        <f>IFERROR(F10*(Totals_7[$ Tax Amount]+Totals_7[$ Tip Amount]), 0)
</f>
        <v>0</v>
      </c>
      <c r="H10" s="51">
        <f t="shared" si="2"/>
        <v>0</v>
      </c>
      <c r="I10" s="54" t="b">
        <v>0</v>
      </c>
      <c r="J10" s="55" t="str">
        <f t="shared" si="3"/>
        <v/>
      </c>
      <c r="K10" s="35"/>
      <c r="L10" s="35"/>
      <c r="M10" s="35"/>
      <c r="N10" s="35"/>
      <c r="O10" s="35"/>
      <c r="P10" s="35"/>
      <c r="Q10" s="35"/>
      <c r="R10" s="35"/>
      <c r="S10" s="35"/>
      <c r="T10" s="35"/>
      <c r="U10" s="35"/>
      <c r="V10" s="35"/>
      <c r="W10" s="35"/>
      <c r="X10" s="35"/>
      <c r="Y10" s="35"/>
      <c r="Z10" s="35"/>
    </row>
    <row r="11" ht="22.5" customHeight="1">
      <c r="A11" s="48"/>
      <c r="B11" s="49"/>
      <c r="C11" s="41"/>
      <c r="D11" s="59" t="s">
        <v>55</v>
      </c>
      <c r="E11" s="51">
        <f t="shared" si="1"/>
        <v>0</v>
      </c>
      <c r="F11" s="52">
        <f>IFERROR(ROUND(E11 / Totals_7[$ Subtotal], 4), 0)
</f>
        <v>0</v>
      </c>
      <c r="G11" s="51">
        <f>IFERROR(F11*(Totals_7[$ Tax Amount]+Totals_7[$ Tip Amount]), 0)
</f>
        <v>0</v>
      </c>
      <c r="H11" s="51">
        <f t="shared" si="2"/>
        <v>0</v>
      </c>
      <c r="I11" s="54" t="b">
        <v>0</v>
      </c>
      <c r="J11" s="55" t="str">
        <f t="shared" si="3"/>
        <v/>
      </c>
      <c r="K11" s="35"/>
      <c r="L11" s="35"/>
      <c r="M11" s="35"/>
      <c r="N11" s="35"/>
      <c r="O11" s="35"/>
      <c r="P11" s="35"/>
      <c r="Q11" s="35"/>
      <c r="R11" s="35"/>
      <c r="S11" s="35"/>
      <c r="T11" s="35"/>
      <c r="U11" s="35"/>
      <c r="V11" s="35"/>
      <c r="W11" s="35"/>
      <c r="X11" s="35"/>
      <c r="Y11" s="35"/>
      <c r="Z11" s="35"/>
    </row>
    <row r="12" ht="22.5" customHeight="1">
      <c r="A12" s="48"/>
      <c r="B12" s="49"/>
      <c r="C12" s="41"/>
      <c r="D12" s="59" t="s">
        <v>55</v>
      </c>
      <c r="E12" s="51">
        <f t="shared" si="1"/>
        <v>0</v>
      </c>
      <c r="F12" s="52">
        <f>IFERROR(ROUND(E12 / Totals_7[$ Subtotal], 4), 0)
</f>
        <v>0</v>
      </c>
      <c r="G12" s="51">
        <f>IFERROR(F12*(Totals_7[$ Tax Amount]+Totals_7[$ Tip Amount]), 0)
</f>
        <v>0</v>
      </c>
      <c r="H12" s="51">
        <f t="shared" si="2"/>
        <v>0</v>
      </c>
      <c r="I12" s="54" t="b">
        <v>0</v>
      </c>
      <c r="J12" s="55" t="str">
        <f t="shared" si="3"/>
        <v/>
      </c>
      <c r="K12" s="35"/>
      <c r="L12" s="35"/>
      <c r="M12" s="35"/>
      <c r="N12" s="35"/>
      <c r="O12" s="35"/>
      <c r="P12" s="35"/>
      <c r="Q12" s="35"/>
      <c r="R12" s="35"/>
      <c r="S12" s="35"/>
      <c r="T12" s="35"/>
      <c r="U12" s="35"/>
      <c r="V12" s="35"/>
      <c r="W12" s="35"/>
      <c r="X12" s="35"/>
      <c r="Y12" s="35"/>
      <c r="Z12" s="35"/>
    </row>
    <row r="13" ht="22.5" customHeight="1">
      <c r="A13" s="58"/>
      <c r="B13" s="49"/>
      <c r="C13" s="41"/>
      <c r="D13" s="59" t="s">
        <v>55</v>
      </c>
      <c r="E13" s="51">
        <f t="shared" si="1"/>
        <v>0</v>
      </c>
      <c r="F13" s="52">
        <f>IFERROR(ROUND(E13 / Totals_7[$ Subtotal], 4), 0)
</f>
        <v>0</v>
      </c>
      <c r="G13" s="51">
        <f>IFERROR(F13*(Totals_7[$ Tax Amount]+Totals_7[$ Tip Amount]), 0)
</f>
        <v>0</v>
      </c>
      <c r="H13" s="51">
        <f t="shared" si="2"/>
        <v>0</v>
      </c>
      <c r="I13" s="54" t="b">
        <v>0</v>
      </c>
      <c r="J13" s="55" t="str">
        <f t="shared" si="3"/>
        <v/>
      </c>
      <c r="K13" s="35"/>
      <c r="L13" s="35"/>
      <c r="M13" s="35"/>
      <c r="N13" s="35"/>
      <c r="O13" s="35"/>
      <c r="P13" s="35"/>
      <c r="Q13" s="35"/>
      <c r="R13" s="35"/>
      <c r="S13" s="35"/>
      <c r="T13" s="35"/>
      <c r="U13" s="35"/>
      <c r="V13" s="35"/>
      <c r="W13" s="35"/>
      <c r="X13" s="35"/>
      <c r="Y13" s="35"/>
      <c r="Z13" s="35"/>
    </row>
    <row r="14" ht="22.5" customHeight="1">
      <c r="A14" s="58"/>
      <c r="B14" s="49"/>
      <c r="C14" s="41"/>
      <c r="D14" s="59" t="s">
        <v>55</v>
      </c>
      <c r="E14" s="51">
        <f t="shared" si="1"/>
        <v>0</v>
      </c>
      <c r="F14" s="52">
        <f>IFERROR(ROUND(E14 / Totals_7[$ Subtotal], 4), 0)
</f>
        <v>0</v>
      </c>
      <c r="G14" s="51">
        <f>IFERROR(F14*(Totals_7[$ Tax Amount]+Totals_7[$ Tip Amount]), 0)
</f>
        <v>0</v>
      </c>
      <c r="H14" s="51">
        <f t="shared" si="2"/>
        <v>0</v>
      </c>
      <c r="I14" s="54" t="b">
        <v>0</v>
      </c>
      <c r="J14" s="55" t="str">
        <f t="shared" si="3"/>
        <v/>
      </c>
      <c r="K14" s="35"/>
      <c r="L14" s="35"/>
      <c r="M14" s="35"/>
      <c r="N14" s="35"/>
      <c r="O14" s="35"/>
      <c r="P14" s="35"/>
      <c r="Q14" s="35"/>
      <c r="R14" s="35"/>
      <c r="S14" s="35"/>
      <c r="T14" s="35"/>
      <c r="U14" s="35"/>
      <c r="V14" s="35"/>
      <c r="W14" s="35"/>
      <c r="X14" s="35"/>
      <c r="Y14" s="35"/>
      <c r="Z14" s="35"/>
    </row>
    <row r="15" ht="22.5" customHeight="1">
      <c r="A15" s="58"/>
      <c r="B15" s="49"/>
      <c r="C15" s="41"/>
      <c r="D15" s="59" t="s">
        <v>55</v>
      </c>
      <c r="E15" s="51">
        <f t="shared" si="1"/>
        <v>0</v>
      </c>
      <c r="F15" s="52">
        <f>IFERROR(ROUND(E15 / Totals_7[$ Subtotal], 4), 0)
</f>
        <v>0</v>
      </c>
      <c r="G15" s="51">
        <f>IFERROR(F15*(Totals_7[$ Tax Amount]+Totals_7[$ Tip Amount]), 0)
</f>
        <v>0</v>
      </c>
      <c r="H15" s="51">
        <f t="shared" si="2"/>
        <v>0</v>
      </c>
      <c r="I15" s="54" t="b">
        <v>0</v>
      </c>
      <c r="J15" s="55" t="str">
        <f t="shared" si="3"/>
        <v/>
      </c>
      <c r="K15" s="35"/>
      <c r="L15" s="35"/>
      <c r="M15" s="35"/>
      <c r="N15" s="35"/>
      <c r="O15" s="35"/>
      <c r="P15" s="35"/>
      <c r="Q15" s="35"/>
      <c r="R15" s="35"/>
      <c r="S15" s="35"/>
      <c r="T15" s="35"/>
      <c r="U15" s="35"/>
      <c r="V15" s="35"/>
      <c r="W15" s="35"/>
      <c r="X15" s="35"/>
      <c r="Y15" s="35"/>
      <c r="Z15" s="35"/>
    </row>
    <row r="16" ht="22.5" customHeight="1">
      <c r="A16" s="48"/>
      <c r="B16" s="49"/>
      <c r="C16" s="41"/>
      <c r="D16" s="59" t="s">
        <v>55</v>
      </c>
      <c r="E16" s="51">
        <f t="shared" si="1"/>
        <v>0</v>
      </c>
      <c r="F16" s="52">
        <f>IFERROR(ROUND(E16 / Totals_7[$ Subtotal], 4), 0)
</f>
        <v>0</v>
      </c>
      <c r="G16" s="51">
        <f>IFERROR(F16*(Totals_7[$ Tax Amount]+Totals_7[$ Tip Amount]), 0)
</f>
        <v>0</v>
      </c>
      <c r="H16" s="51">
        <f t="shared" si="2"/>
        <v>0</v>
      </c>
      <c r="I16" s="54" t="b">
        <v>0</v>
      </c>
      <c r="J16" s="55" t="str">
        <f t="shared" si="3"/>
        <v/>
      </c>
      <c r="K16" s="35"/>
      <c r="L16" s="35"/>
      <c r="M16" s="35"/>
      <c r="N16" s="35"/>
      <c r="O16" s="35"/>
      <c r="P16" s="35"/>
      <c r="Q16" s="35"/>
      <c r="R16" s="35"/>
      <c r="S16" s="35"/>
      <c r="T16" s="35"/>
      <c r="U16" s="35"/>
      <c r="V16" s="35"/>
      <c r="W16" s="35"/>
      <c r="X16" s="35"/>
      <c r="Y16" s="35"/>
      <c r="Z16" s="35"/>
    </row>
    <row r="17" ht="22.5" customHeight="1">
      <c r="A17" s="48"/>
      <c r="B17" s="56"/>
      <c r="C17" s="41"/>
      <c r="D17" s="59" t="s">
        <v>55</v>
      </c>
      <c r="E17" s="51">
        <f t="shared" si="1"/>
        <v>0</v>
      </c>
      <c r="F17" s="52">
        <f>IFERROR(ROUND(E17 / Totals_7[$ Subtotal], 4), 0)
</f>
        <v>0</v>
      </c>
      <c r="G17" s="51">
        <f>IFERROR(F17*(Totals_7[$ Tax Amount]+Totals_7[$ Tip Amount]), 0)
</f>
        <v>0</v>
      </c>
      <c r="H17" s="51">
        <f t="shared" si="2"/>
        <v>0</v>
      </c>
      <c r="I17" s="54" t="b">
        <v>0</v>
      </c>
      <c r="J17" s="55" t="str">
        <f t="shared" si="3"/>
        <v/>
      </c>
      <c r="K17" s="35"/>
      <c r="L17" s="35"/>
      <c r="M17" s="35"/>
      <c r="N17" s="35"/>
      <c r="O17" s="35"/>
      <c r="P17" s="35"/>
      <c r="Q17" s="35"/>
      <c r="R17" s="35"/>
      <c r="S17" s="35"/>
      <c r="T17" s="35"/>
      <c r="U17" s="35"/>
      <c r="V17" s="35"/>
      <c r="W17" s="35"/>
      <c r="X17" s="35"/>
      <c r="Y17" s="35"/>
      <c r="Z17" s="35"/>
    </row>
    <row r="18" ht="22.5" customHeight="1">
      <c r="A18" s="48"/>
      <c r="B18" s="49"/>
      <c r="C18" s="41"/>
      <c r="D18" s="59" t="s">
        <v>55</v>
      </c>
      <c r="E18" s="51">
        <f t="shared" si="1"/>
        <v>0</v>
      </c>
      <c r="F18" s="52">
        <f>IFERROR(ROUND(E18 / Totals_7[$ Subtotal], 4), 0)
</f>
        <v>0</v>
      </c>
      <c r="G18" s="51">
        <f>IFERROR(F18*(Totals_7[$ Tax Amount]+Totals_7[$ Tip Amount]), 0)
</f>
        <v>0</v>
      </c>
      <c r="H18" s="51">
        <f t="shared" si="2"/>
        <v>0</v>
      </c>
      <c r="I18" s="54" t="b">
        <v>0</v>
      </c>
      <c r="J18" s="55" t="str">
        <f t="shared" si="3"/>
        <v/>
      </c>
      <c r="K18" s="35"/>
      <c r="L18" s="35"/>
      <c r="M18" s="35"/>
      <c r="N18" s="35"/>
      <c r="O18" s="35"/>
      <c r="P18" s="35"/>
      <c r="Q18" s="35"/>
      <c r="R18" s="35"/>
      <c r="S18" s="35"/>
      <c r="T18" s="35"/>
      <c r="U18" s="35"/>
      <c r="V18" s="35"/>
      <c r="W18" s="35"/>
      <c r="X18" s="35"/>
      <c r="Y18" s="35"/>
      <c r="Z18" s="35"/>
    </row>
    <row r="19" ht="22.5" customHeight="1">
      <c r="A19" s="48"/>
      <c r="B19" s="49"/>
      <c r="C19" s="41"/>
      <c r="D19" s="59" t="s">
        <v>55</v>
      </c>
      <c r="E19" s="51">
        <f t="shared" si="1"/>
        <v>0</v>
      </c>
      <c r="F19" s="52">
        <f>IFERROR(ROUND(E19 / Totals_7[$ Subtotal], 4), 0)
</f>
        <v>0</v>
      </c>
      <c r="G19" s="51">
        <f>IFERROR(F19*(Totals_7[$ Tax Amount]+Totals_7[$ Tip Amount]), 0)
</f>
        <v>0</v>
      </c>
      <c r="H19" s="51">
        <f t="shared" si="2"/>
        <v>0</v>
      </c>
      <c r="I19" s="54" t="b">
        <v>0</v>
      </c>
      <c r="J19" s="55" t="str">
        <f t="shared" si="3"/>
        <v/>
      </c>
      <c r="K19" s="35"/>
      <c r="L19" s="35"/>
      <c r="M19" s="35"/>
      <c r="N19" s="35"/>
      <c r="O19" s="35"/>
      <c r="P19" s="35"/>
      <c r="Q19" s="35"/>
      <c r="R19" s="35"/>
      <c r="S19" s="35"/>
      <c r="T19" s="35"/>
      <c r="U19" s="35"/>
      <c r="V19" s="35"/>
      <c r="W19" s="35"/>
      <c r="X19" s="35"/>
      <c r="Y19" s="35"/>
      <c r="Z19" s="35"/>
    </row>
    <row r="20" ht="22.5" customHeight="1">
      <c r="A20" s="48"/>
      <c r="B20" s="49"/>
      <c r="C20" s="41"/>
      <c r="D20" s="59" t="s">
        <v>55</v>
      </c>
      <c r="E20" s="51">
        <f t="shared" si="1"/>
        <v>0</v>
      </c>
      <c r="F20" s="52">
        <f>IFERROR(ROUND(E20 / Totals_7[$ Subtotal], 4), 0)
</f>
        <v>0</v>
      </c>
      <c r="G20" s="51">
        <f>IFERROR(F20*(Totals_7[$ Tax Amount]+Totals_7[$ Tip Amount]), 0)
</f>
        <v>0</v>
      </c>
      <c r="H20" s="51">
        <f t="shared" si="2"/>
        <v>0</v>
      </c>
      <c r="I20" s="54" t="b">
        <v>0</v>
      </c>
      <c r="J20" s="55" t="str">
        <f t="shared" si="3"/>
        <v/>
      </c>
      <c r="K20" s="35"/>
      <c r="L20" s="35"/>
      <c r="M20" s="35"/>
      <c r="N20" s="35"/>
      <c r="O20" s="35"/>
      <c r="P20" s="35"/>
      <c r="Q20" s="35"/>
      <c r="R20" s="35"/>
      <c r="S20" s="35"/>
      <c r="T20" s="35"/>
      <c r="U20" s="35"/>
      <c r="V20" s="35"/>
      <c r="W20" s="35"/>
      <c r="X20" s="35"/>
      <c r="Y20" s="35"/>
      <c r="Z20" s="35"/>
    </row>
    <row r="21" ht="22.5" customHeight="1">
      <c r="A21" s="48"/>
      <c r="B21" s="49"/>
      <c r="C21" s="41"/>
      <c r="D21" s="59" t="s">
        <v>55</v>
      </c>
      <c r="E21" s="51">
        <f t="shared" si="1"/>
        <v>0</v>
      </c>
      <c r="F21" s="52">
        <f>IFERROR(ROUND(E21 / Totals_7[$ Subtotal], 4), 0)
</f>
        <v>0</v>
      </c>
      <c r="G21" s="51">
        <f>IFERROR(F21*(Totals_7[$ Tax Amount]+Totals_7[$ Tip Amount]), 0)
</f>
        <v>0</v>
      </c>
      <c r="H21" s="51">
        <f t="shared" si="2"/>
        <v>0</v>
      </c>
      <c r="I21" s="54" t="b">
        <v>0</v>
      </c>
      <c r="J21" s="55" t="str">
        <f t="shared" si="3"/>
        <v/>
      </c>
      <c r="K21" s="35"/>
      <c r="L21" s="35"/>
      <c r="M21" s="35"/>
      <c r="N21" s="35"/>
      <c r="O21" s="35"/>
      <c r="P21" s="35"/>
      <c r="Q21" s="35"/>
      <c r="R21" s="35"/>
      <c r="S21" s="35"/>
      <c r="T21" s="35"/>
      <c r="U21" s="35"/>
      <c r="V21" s="35"/>
      <c r="W21" s="35"/>
      <c r="X21" s="35"/>
      <c r="Y21" s="35"/>
      <c r="Z21" s="35"/>
    </row>
    <row r="22" ht="22.5" customHeight="1">
      <c r="A22" s="48"/>
      <c r="B22" s="49"/>
      <c r="C22" s="41"/>
      <c r="D22" s="59" t="s">
        <v>55</v>
      </c>
      <c r="E22" s="51">
        <f t="shared" si="1"/>
        <v>0</v>
      </c>
      <c r="F22" s="52">
        <f>IFERROR(ROUND(E22 / Totals_7[$ Subtotal], 4), 0)
</f>
        <v>0</v>
      </c>
      <c r="G22" s="51">
        <f>IFERROR(F22*(Totals_7[$ Tax Amount]+Totals_7[$ Tip Amount]), 0)
</f>
        <v>0</v>
      </c>
      <c r="H22" s="51">
        <f t="shared" si="2"/>
        <v>0</v>
      </c>
      <c r="I22" s="54" t="b">
        <v>0</v>
      </c>
      <c r="J22" s="55" t="str">
        <f t="shared" si="3"/>
        <v/>
      </c>
      <c r="K22" s="35"/>
      <c r="L22" s="35"/>
      <c r="M22" s="35"/>
      <c r="N22" s="35"/>
      <c r="O22" s="35"/>
      <c r="P22" s="35"/>
      <c r="Q22" s="35"/>
      <c r="R22" s="35"/>
      <c r="S22" s="35"/>
      <c r="T22" s="35"/>
      <c r="U22" s="35"/>
      <c r="V22" s="35"/>
      <c r="W22" s="35"/>
      <c r="X22" s="35"/>
      <c r="Y22" s="35"/>
      <c r="Z22" s="35"/>
    </row>
    <row r="23" ht="22.5" customHeight="1">
      <c r="A23" s="48"/>
      <c r="B23" s="56"/>
      <c r="C23" s="41"/>
      <c r="D23" s="59" t="s">
        <v>55</v>
      </c>
      <c r="E23" s="51">
        <f t="shared" si="1"/>
        <v>0</v>
      </c>
      <c r="F23" s="52">
        <f>IFERROR(ROUND(E23 / Totals_7[$ Subtotal], 4), 0)
</f>
        <v>0</v>
      </c>
      <c r="G23" s="51">
        <f>IFERROR(F23*(Totals_7[$ Tax Amount]+Totals_7[$ Tip Amount]), 0)
</f>
        <v>0</v>
      </c>
      <c r="H23" s="51">
        <f t="shared" si="2"/>
        <v>0</v>
      </c>
      <c r="I23" s="54" t="b">
        <v>0</v>
      </c>
      <c r="J23" s="55" t="str">
        <f t="shared" si="3"/>
        <v/>
      </c>
      <c r="K23" s="35"/>
      <c r="L23" s="35"/>
      <c r="M23" s="35"/>
      <c r="N23" s="35"/>
      <c r="O23" s="35"/>
      <c r="P23" s="35"/>
      <c r="Q23" s="35"/>
      <c r="R23" s="35"/>
      <c r="S23" s="35"/>
      <c r="T23" s="35"/>
      <c r="U23" s="35"/>
      <c r="V23" s="35"/>
      <c r="W23" s="35"/>
      <c r="X23" s="35"/>
      <c r="Y23" s="35"/>
      <c r="Z23" s="35"/>
    </row>
    <row r="24" ht="22.5" customHeight="1">
      <c r="A24" s="58"/>
      <c r="B24" s="56"/>
      <c r="C24" s="57"/>
      <c r="D24" s="59" t="s">
        <v>55</v>
      </c>
      <c r="E24" s="51">
        <f t="shared" si="1"/>
        <v>0</v>
      </c>
      <c r="F24" s="52">
        <f>IFERROR(ROUND(E24 / Totals_7[$ Subtotal], 4), 0)
</f>
        <v>0</v>
      </c>
      <c r="G24" s="51">
        <f>IFERROR(F24*(Totals_7[$ Tax Amount]+Totals_7[$ Tip Amount]), 0)
</f>
        <v>0</v>
      </c>
      <c r="H24" s="51">
        <f t="shared" si="2"/>
        <v>0</v>
      </c>
      <c r="I24" s="54" t="b">
        <v>0</v>
      </c>
      <c r="J24" s="55" t="str">
        <f t="shared" si="3"/>
        <v/>
      </c>
      <c r="K24" s="35"/>
      <c r="L24" s="35"/>
      <c r="M24" s="35"/>
      <c r="N24" s="35"/>
      <c r="O24" s="35"/>
      <c r="P24" s="35"/>
      <c r="Q24" s="35"/>
      <c r="R24" s="35"/>
      <c r="S24" s="35"/>
      <c r="T24" s="35"/>
      <c r="U24" s="35"/>
      <c r="V24" s="35"/>
      <c r="W24" s="35"/>
      <c r="X24" s="35"/>
      <c r="Y24" s="35"/>
      <c r="Z24" s="35"/>
    </row>
    <row r="25" ht="22.5" customHeight="1">
      <c r="A25" s="58"/>
      <c r="B25" s="56"/>
      <c r="C25" s="57"/>
      <c r="D25" s="59" t="s">
        <v>55</v>
      </c>
      <c r="E25" s="51">
        <f t="shared" si="1"/>
        <v>0</v>
      </c>
      <c r="F25" s="52">
        <f>IFERROR(ROUND(E25 / Totals_7[$ Subtotal], 4), 0)
</f>
        <v>0</v>
      </c>
      <c r="G25" s="51">
        <f>IFERROR(F25*(Totals_7[$ Tax Amount]+Totals_7[$ Tip Amount]), 0)
</f>
        <v>0</v>
      </c>
      <c r="H25" s="51">
        <f t="shared" si="2"/>
        <v>0</v>
      </c>
      <c r="I25" s="54" t="b">
        <v>0</v>
      </c>
      <c r="J25" s="55" t="str">
        <f t="shared" si="3"/>
        <v/>
      </c>
      <c r="K25" s="35"/>
      <c r="L25" s="35"/>
      <c r="M25" s="35"/>
      <c r="N25" s="35"/>
      <c r="O25" s="35"/>
      <c r="P25" s="35"/>
      <c r="Q25" s="35"/>
      <c r="R25" s="35"/>
      <c r="S25" s="35"/>
      <c r="T25" s="35"/>
      <c r="U25" s="35"/>
      <c r="V25" s="35"/>
      <c r="W25" s="35"/>
      <c r="X25" s="35"/>
      <c r="Y25" s="35"/>
      <c r="Z25" s="35"/>
    </row>
    <row r="26" ht="22.5" customHeight="1">
      <c r="A26" s="58"/>
      <c r="B26" s="56"/>
      <c r="C26" s="57"/>
      <c r="D26" s="59" t="s">
        <v>55</v>
      </c>
      <c r="E26" s="51">
        <f t="shared" si="1"/>
        <v>0</v>
      </c>
      <c r="F26" s="52">
        <f>IFERROR(ROUND(E26 / Totals_7[$ Subtotal], 4), 0)
</f>
        <v>0</v>
      </c>
      <c r="G26" s="51">
        <f>IFERROR(F26*(Totals_7[$ Tax Amount]+Totals_7[$ Tip Amount]), 0)
</f>
        <v>0</v>
      </c>
      <c r="H26" s="51">
        <f t="shared" si="2"/>
        <v>0</v>
      </c>
      <c r="I26" s="54" t="b">
        <v>0</v>
      </c>
      <c r="J26" s="55" t="str">
        <f t="shared" si="3"/>
        <v/>
      </c>
      <c r="K26" s="35"/>
      <c r="L26" s="35"/>
      <c r="M26" s="35"/>
      <c r="N26" s="35"/>
      <c r="O26" s="35"/>
      <c r="P26" s="35"/>
      <c r="Q26" s="35"/>
      <c r="R26" s="35"/>
      <c r="S26" s="35"/>
      <c r="T26" s="35"/>
      <c r="U26" s="35"/>
      <c r="V26" s="35"/>
      <c r="W26" s="35"/>
      <c r="X26" s="35"/>
      <c r="Y26" s="35"/>
      <c r="Z26" s="35"/>
    </row>
    <row r="27" ht="22.5" customHeight="1">
      <c r="A27" s="58"/>
      <c r="B27" s="56"/>
      <c r="C27" s="57"/>
      <c r="D27" s="59" t="s">
        <v>55</v>
      </c>
      <c r="E27" s="51">
        <f t="shared" si="1"/>
        <v>0</v>
      </c>
      <c r="F27" s="52">
        <f>IFERROR(ROUND(E27 / Totals_7[$ Subtotal], 4), 0)
</f>
        <v>0</v>
      </c>
      <c r="G27" s="51">
        <f>IFERROR(F27*(Totals_7[$ Tax Amount]+Totals_7[$ Tip Amount]), 0)
</f>
        <v>0</v>
      </c>
      <c r="H27" s="51">
        <f t="shared" si="2"/>
        <v>0</v>
      </c>
      <c r="I27" s="54" t="b">
        <v>0</v>
      </c>
      <c r="J27" s="55" t="str">
        <f t="shared" si="3"/>
        <v/>
      </c>
      <c r="K27" s="35"/>
      <c r="L27" s="35"/>
      <c r="M27" s="35"/>
      <c r="N27" s="35"/>
      <c r="O27" s="35"/>
      <c r="P27" s="35"/>
      <c r="Q27" s="35"/>
      <c r="R27" s="35"/>
      <c r="S27" s="35"/>
      <c r="T27" s="35"/>
      <c r="U27" s="35"/>
      <c r="V27" s="35"/>
      <c r="W27" s="35"/>
      <c r="X27" s="35"/>
      <c r="Y27" s="35"/>
      <c r="Z27" s="35"/>
    </row>
  </sheetData>
  <conditionalFormatting sqref="D8:D27">
    <cfRule type="colorScale" priority="1">
      <colorScale>
        <cfvo type="min"/>
        <cfvo type="max"/>
        <color rgb="FFFFFFFF"/>
        <color rgb="FF57BB8A"/>
      </colorScale>
    </cfRule>
  </conditionalFormatting>
  <conditionalFormatting sqref="J8:J27">
    <cfRule type="expression" dxfId="7" priority="2">
      <formula>AND(I8=FALSE,E8&lt;&gt;0)</formula>
    </cfRule>
  </conditionalFormatting>
  <dataValidations>
    <dataValidation type="decimal" allowBlank="1" showDropDown="1" showInputMessage="1" prompt="Enter a tip percentage between 0 and 100" sqref="B1">
      <formula1>0.0</formula1>
      <formula2>100.0</formula2>
    </dataValidation>
    <dataValidation type="custom" allowBlank="1" showDropDown="1" sqref="B4:E4 C8:C27 E8:G27">
      <formula1>AND(ISNUMBER(B4),(NOT(OR(NOT(ISERROR(DATEVALUE(B4))), AND(ISNUMBER(B4), LEFT(CELL("format", B4))="D")))))</formula1>
    </dataValidation>
    <dataValidation type="list" allowBlank="1" sqref="D8:D27">
      <formula1>"N/A,Solo,Appetizer,Treated"</formula1>
    </dataValidation>
    <dataValidation allowBlank="1" showDropDown="1" sqref="B8:B27"/>
  </dataValidations>
  <drawing r:id="rId1"/>
  <tableParts count="2">
    <tablePart r:id="rId4"/>
    <tablePart r:id="rId5"/>
  </tableParts>
</worksheet>
</file>